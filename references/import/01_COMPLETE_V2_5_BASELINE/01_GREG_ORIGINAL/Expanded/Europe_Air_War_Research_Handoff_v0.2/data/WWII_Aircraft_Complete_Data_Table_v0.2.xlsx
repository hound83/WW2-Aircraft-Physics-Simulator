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4cc867be3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Field Inventory" sheetId="1" r:id="Re6fc72bbbffd466d"/>
    <x:sheet xmlns:r="http://schemas.openxmlformats.org/officeDocument/2006/relationships" name="Greg Speed Table" sheetId="2" r:id="R3dd40c0809f04249"/>
    <x:sheet xmlns:r="http://schemas.openxmlformats.org/officeDocument/2006/relationships" name="P51B Engine Data" sheetId="3" r:id="Rb0b3120df9e34257"/>
    <x:sheet xmlns:r="http://schemas.openxmlformats.org/officeDocument/2006/relationships" name="P51B Validation" sheetId="4" r:id="R9d6d69225fbc42f9"/>
    <x:sheet xmlns:r="http://schemas.openxmlformats.org/officeDocument/2006/relationships" name="Assumptions" sheetId="5" r:id="Rc1121bf069a94f4a"/>
    <x:sheet xmlns:r="http://schemas.openxmlformats.org/officeDocument/2006/relationships" name="Sources and Gaps" sheetId="6" r:id="Rcb44ed53cf10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"/>
    <x:numFmt numFmtId="202" formatCode="0.00"/>
    <x:numFmt numFmtId="203" formatCode="#,##0"/>
    <x:numFmt numFmtId="204" formatCode="0.0"/>
    <x:numFmt numFmtId="205" formatCode="0.000"/>
    <x:numFmt numFmtId="206" formatCode="0.0000"/>
    <x:numFmt numFmtId="207" formatCode="#,##0.0"/>
  </x:numFmts>
  <x:fonts count="5">
    <x:font>
      <x:sz val="11"/>
      <x:name val="Carlito"/>
    </x:font>
    <x:font>
      <x:b/>
      <x:sz val="15"/>
      <x:color rgb="FF172F46"/>
      <x:name val="Arial"/>
    </x:font>
    <x:font>
      <x:b/>
      <x:sz val="10"/>
      <x:color rgb="FFFFFFFF"/>
      <x:name val="Arial"/>
    </x:font>
    <x:font>
      <x:sz val="10"/>
      <x:color rgb="FF1E2C37"/>
      <x:name val="Arial"/>
    </x:font>
    <x:font>
      <x:sz val="10"/>
      <x:color rgb="FF5C6C7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F46"/>
      </x:patternFill>
    </x:fill>
    <x:fill>
      <x:patternFill patternType="solid">
        <x:fgColor rgb="FFFFF3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5BBCB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206" fontId="3" fillId="0" borderId="0" xfId="0" applyNumberFormat="1" applyFont="1" applyFill="1" applyBorder="1"/>
    <x:xf numFmtId="207" fontId="3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0" xfId="0" applyNumberFormat="1" applyFont="1" applyFill="1" applyBorder="1"/>
    <x:xf numFmtId="207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9834671074697" /><Relationship Type="http://schemas.openxmlformats.org/officeDocument/2006/relationships/theme" Target="/xl/theme/theme1.xml" Id="R74b341512fd34315" /><Relationship Type="http://schemas.openxmlformats.org/officeDocument/2006/relationships/sharedStrings" Target="/xl/sharedStrings.xml" Id="Rd806ab470ee2484f" /><Relationship Type="http://schemas.openxmlformats.org/officeDocument/2006/relationships/worksheet" Target="/xl/worksheets/sheet1.xml" Id="Re6fc72bbbffd466d" /><Relationship Type="http://schemas.openxmlformats.org/officeDocument/2006/relationships/worksheet" Target="/xl/worksheets/sheet2.xml" Id="R3dd40c0809f04249" /><Relationship Type="http://schemas.openxmlformats.org/officeDocument/2006/relationships/worksheet" Target="/xl/worksheets/sheet3.xml" Id="Rb0b3120df9e34257" /><Relationship Type="http://schemas.openxmlformats.org/officeDocument/2006/relationships/worksheet" Target="/xl/worksheets/sheet4.xml" Id="R9d6d69225fbc42f9" /><Relationship Type="http://schemas.openxmlformats.org/officeDocument/2006/relationships/worksheet" Target="/xl/worksheets/sheet5.xml" Id="Rc1121bf069a94f4a" /><Relationship Type="http://schemas.openxmlformats.org/officeDocument/2006/relationships/worksheet" Target="/xl/worksheets/sheet6.xml" Id="Rcb44ed53cf1049ad" /></Relationships>
</file>

<file path=xl/tables/table1.xml><?xml version="1.0" encoding="utf-8"?>
<x:table xmlns:x="http://schemas.openxmlformats.org/spreadsheetml/2006/main" id="1" name="AircraftFieldInventory" displayName="AircraftFieldInventory" ref="B4:M146" headerRowCount="1" totalsRowCount="0" totalsRowShown="0">
  <x:tableColumns count="12">
    <x:tableColumn id="1" name="Phase"/>
    <x:tableColumn id="2" name="Area"/>
    <x:tableColumn id="3" name="Data key"/>
    <x:tableColumn id="4" name="Field"/>
    <x:tableColumn id="5" name="Unit"/>
    <x:tableColumn id="6" name="Type"/>
    <x:tableColumn id="7" name="Meaning / formula"/>
    <x:tableColumn id="8" name="Source priority"/>
    <x:tableColumn id="9" name="P-51B status"/>
    <x:tableColumn id="10" name="P-51B example"/>
    <x:tableColumn id="11" name="Priority"/>
    <x:tableColumn id="12" name="Next source / 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GregCompleteSweep" displayName="GregCompleteSweep" ref="B4:AU70" headerRowCount="1" totalsRowCount="0" totalsRowShown="0">
  <x:tableColumns count="46">
    <x:tableColumn id="1" name="Altitude ft"/>
    <x:tableColumn id="2" name="TAS mph"/>
    <x:tableColumn id="3" name="Rating"/>
    <x:tableColumn id="4" name="Gear"/>
    <x:tableColumn id="5" name="BHP"/>
    <x:tableColumn id="6" name="Weight lb"/>
    <x:tableColumn id="7" name="Density kg/m³"/>
    <x:tableColumn id="8" name="EAS mph"/>
    <x:tableColumn id="9" name="Mach"/>
    <x:tableColumn id="10" name="q Pa"/>
    <x:tableColumn id="11" name="Wing S m²"/>
    <x:tableColumn id="12" name="Aspect ratio"/>
    <x:tableColumn id="13" name="Induced k"/>
    <x:tableColumn id="14" name="Wing loading lb/ft²"/>
    <x:tableColumn id="15" name="Shaft hp/lb"/>
    <x:tableColumn id="16" name="CL (1g)"/>
    <x:tableColumn id="17" name="CD0"/>
    <x:tableColumn id="18" name="CD induced"/>
    <x:tableColumn id="19" name="CD wave"/>
    <x:tableColumn id="20" name="CD total"/>
    <x:tableColumn id="21" name="Parasite drag lbf"/>
    <x:tableColumn id="22" name="Induced drag lbf"/>
    <x:tableColumn id="23" name="Other drag lbf"/>
    <x:tableColumn id="24" name="Total drag lbf"/>
    <x:tableColumn id="25" name="Parasite %"/>
    <x:tableColumn id="26" name="Induced %"/>
    <x:tableColumn id="27" name="Lift/drag"/>
    <x:tableColumn id="28" name="Prop eta"/>
    <x:tableColumn id="29" name="Shaft HP avail"/>
    <x:tableColumn id="30" name="Useful HP avail"/>
    <x:tableColumn id="31" name="Useful HP required"/>
    <x:tableColumn id="32" name="Shaft HP required"/>
    <x:tableColumn id="33" name="Excess useful HP"/>
    <x:tableColumn id="34" name="Ps m/s"/>
    <x:tableColumn id="35" name="ROC ft/min"/>
    <x:tableColumn id="36" name="Accel m/s²"/>
    <x:tableColumn id="37" name="Stall EAS mph"/>
    <x:tableColumn id="38" name="Max instant G"/>
    <x:tableColumn id="39" name="Max sustained G"/>
    <x:tableColumn id="40" name="Instant deg/s"/>
    <x:tableColumn id="41" name="Sustained deg/s"/>
    <x:tableColumn id="42" name="Instant radius m"/>
    <x:tableColumn id="43" name="Sustained radius m"/>
    <x:tableColumn id="44" name="Stall status"/>
    <x:tableColumn id="45" name="Quality"/>
    <x:tableColumn id="46" name="Cave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51BPowerNodes" displayName="P51BPowerNodes" ref="B4:I20" headerRowCount="1" totalsRowCount="0" totalsRowShown="0">
  <x:tableColumns count="8">
    <x:tableColumn id="1" name="Rating"/>
    <x:tableColumn id="2" name="Blower"/>
    <x:tableColumn id="3" name="Altitude ft"/>
    <x:tableColumn id="4" name="Shaft BHP"/>
    <x:tableColumn id="5" name="RPM"/>
    <x:tableColumn id="6" name="Manifold inHg"/>
    <x:tableColumn id="7" name="Evidence"/>
    <x:tableColumn id="8" name="Source 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b0611aeb234d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786b8c12af4c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513f6a69e842a4" /></Relationships>
</file>

<file path=xl/worksheets/sheet1.xml><?xml version="1.0" encoding="utf-8"?>
<x:worksheet xmlns:x="http://schemas.openxmlformats.org/spreadsheetml/2006/main">
  <x:sheetPr>
    <x:tabColor rgb="FF234F70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2" max="2" width="16" hidden="0" customWidth="1"/>
    <x:col min="3" max="3" width="17" hidden="0" customWidth="1"/>
    <x:col min="4" max="4" width="24" hidden="0" customWidth="1"/>
    <x:col min="5" max="5" width="32" hidden="0" customWidth="1"/>
    <x:col min="6" max="6" width="14" hidden="0" customWidth="1"/>
    <x:col min="7" max="7" width="22" hidden="0" customWidth="1"/>
    <x:col min="8" max="8" width="46" hidden="0" customWidth="1"/>
    <x:col min="9" max="9" width="34" hidden="0" customWidth="1"/>
    <x:col min="10" max="10" width="21" hidden="0" customWidth="1"/>
    <x:col min="11" max="11" width="24" hidden="0" customWidth="1"/>
    <x:col min="12" max="12" width="10" hidden="0" customWidth="1"/>
    <x:col min="13" max="13" width="42" hidden="0" customWidth="1"/>
  </x:cols>
  <x:sheetData>
    <x:row r="2">
      <x:c r="B2" s="1" t="str">
        <x:v>Complete aircraft data and calculation inventory</x:v>
      </x:c>
    </x:row>
    <x:row r="3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0" customHeight="1">
      <x:c r="B4" s="5" t="str">
        <x:v>Phase</x:v>
      </x:c>
      <x:c r="C4" s="5" t="str">
        <x:v>Area</x:v>
      </x:c>
      <x:c r="D4" s="5" t="str">
        <x:v>Data key</x:v>
      </x:c>
      <x:c r="E4" s="5" t="str">
        <x:v>Field</x:v>
      </x:c>
      <x:c r="F4" s="5" t="str">
        <x:v>Unit</x:v>
      </x:c>
      <x:c r="G4" s="5" t="str">
        <x:v>Type</x:v>
      </x:c>
      <x:c r="H4" s="5" t="str">
        <x:v>Meaning / formula</x:v>
      </x:c>
      <x:c r="I4" s="5" t="str">
        <x:v>Source priority</x:v>
      </x:c>
      <x:c r="J4" s="5" t="str">
        <x:v>P-51B status</x:v>
      </x:c>
      <x:c r="K4" s="5" t="str">
        <x:v>P-51B example</x:v>
      </x:c>
      <x:c r="L4" s="5" t="str">
        <x:v>Priority</x:v>
      </x:c>
      <x:c r="M4" s="5" t="str">
        <x:v>Next source / limitation</x:v>
      </x:c>
    </x:row>
    <x:row r="5">
      <x:c r="B5" s="6" t="str">
        <x:v>1 Foundations</x:v>
      </x:c>
      <x:c r="C5" s="6" t="str">
        <x:v>Identity</x:v>
      </x:c>
      <x:c r="D5" s="6" t="str">
        <x:v>family_id</x:v>
      </x:c>
      <x:c r="E5" s="6" t="str">
        <x:v>Aircraft family</x:v>
      </x:c>
      <x:c r="F5" s="6" t="str">
        <x:v>text</x:v>
      </x:c>
      <x:c r="G5" s="6" t="str">
        <x:v>Raw</x:v>
      </x:c>
      <x:c r="H5" s="6" t="str">
        <x:v>Family key, never a generic performance curve</x:v>
      </x:c>
      <x:c r="I5" s="6" t="str">
        <x:v>USAAF flight-test or pilot/engineering manual</x:v>
      </x:c>
      <x:c r="J5" s="6" t="str">
        <x:v>Historical</x:v>
      </x:c>
      <x:c r="K5" s="6" t="str">
        <x:v>P-51</x:v>
      </x:c>
      <x:c r="L5" s="6" t="str">
        <x:v>P0</x:v>
      </x:c>
      <x:c r="M5" s="6" t="str"/>
    </x:row>
    <x:row r="6">
      <x:c r="B6" s="6" t="str">
        <x:v>1 Foundations</x:v>
      </x:c>
      <x:c r="C6" s="6" t="str">
        <x:v>Identity</x:v>
      </x:c>
      <x:c r="D6" s="6" t="str">
        <x:v>variant_id</x:v>
      </x:c>
      <x:c r="E6" s="6" t="str">
        <x:v>Variant / block</x:v>
      </x:c>
      <x:c r="F6" s="6" t="str">
        <x:v>text</x:v>
      </x:c>
      <x:c r="G6" s="6" t="str">
        <x:v>Raw</x:v>
      </x:c>
      <x:c r="H6" s="6" t="str">
        <x:v>Exact airframe model</x:v>
      </x:c>
      <x:c r="I6" s="6" t="str">
        <x:v>USAAF flight-test or pilot/engineering manual</x:v>
      </x:c>
      <x:c r="J6" s="6" t="str">
        <x:v>Historical</x:v>
      </x:c>
      <x:c r="K6" s="6" t="str">
        <x:v>P-51B-15-NA</x:v>
      </x:c>
      <x:c r="L6" s="6" t="str">
        <x:v>P0</x:v>
      </x:c>
      <x:c r="M6" s="6" t="str"/>
    </x:row>
    <x:row r="7">
      <x:c r="B7" s="6" t="str">
        <x:v>1 Foundations</x:v>
      </x:c>
      <x:c r="C7" s="6" t="str">
        <x:v>Identity</x:v>
      </x:c>
      <x:c r="D7" s="6" t="str">
        <x:v>serial</x:v>
      </x:c>
      <x:c r="E7" s="6" t="str">
        <x:v>Test aircraft serial</x:v>
      </x:c>
      <x:c r="F7" s="6" t="str">
        <x:v>text</x:v>
      </x:c>
      <x:c r="G7" s="6" t="str">
        <x:v>Raw</x:v>
      </x:c>
      <x:c r="H7" s="6" t="str">
        <x:v>Links measurements to specific aircraft</x:v>
      </x:c>
      <x:c r="I7" s="6" t="str">
        <x:v>USAAF flight-test or pilot/engineering manual</x:v>
      </x:c>
      <x:c r="J7" s="6" t="str">
        <x:v>Historical</x:v>
      </x:c>
      <x:c r="K7" s="6" t="str">
        <x:v>43-24777</x:v>
      </x:c>
      <x:c r="L7" s="6" t="str">
        <x:v>P0</x:v>
      </x:c>
      <x:c r="M7" s="6" t="str"/>
    </x:row>
    <x:row r="8">
      <x:c r="B8" s="6" t="str">
        <x:v>1 Foundations</x:v>
      </x:c>
      <x:c r="C8" s="6" t="str">
        <x:v>Identity</x:v>
      </x:c>
      <x:c r="D8" s="6" t="str">
        <x:v>test_date</x:v>
      </x:c>
      <x:c r="E8" s="6" t="str">
        <x:v>Test date</x:v>
      </x:c>
      <x:c r="F8" s="6" t="str">
        <x:v>date</x:v>
      </x:c>
      <x:c r="G8" s="6" t="str">
        <x:v>Raw</x:v>
      </x:c>
      <x:c r="H8" s="6" t="str">
        <x:v>Temporal applicability of performance</x:v>
      </x:c>
      <x:c r="I8" s="6" t="str">
        <x:v>USAAF flight-test or pilot/engineering manual</x:v>
      </x:c>
      <x:c r="J8" s="6" t="str">
        <x:v>Historical</x:v>
      </x:c>
      <x:c r="K8" s="6" t="str">
        <x:v>1944-05-20</x:v>
      </x:c>
      <x:c r="L8" s="6" t="str">
        <x:v>P0</x:v>
      </x:c>
      <x:c r="M8" s="6" t="str"/>
    </x:row>
    <x:row r="9">
      <x:c r="B9" s="6" t="str">
        <x:v>1 Foundations</x:v>
      </x:c>
      <x:c r="C9" s="6" t="str">
        <x:v>Identity</x:v>
      </x:c>
      <x:c r="D9" s="6" t="str">
        <x:v>service_date</x:v>
      </x:c>
      <x:c r="E9" s="6" t="str">
        <x:v>In-service date</x:v>
      </x:c>
      <x:c r="F9" s="6" t="str">
        <x:v>date</x:v>
      </x:c>
      <x:c r="G9" s="6" t="str">
        <x:v>Raw</x:v>
      </x:c>
      <x:c r="H9" s="6" t="str">
        <x:v>Availability in historical scenarios</x:v>
      </x:c>
      <x:c r="I9" s="6" t="str">
        <x:v>USAAF flight-test or pilot/engineering manual</x:v>
      </x:c>
      <x:c r="J9" s="6" t="str">
        <x:v>Missing</x:v>
      </x:c>
      <x:c r="K9" s="6" t="str"/>
      <x:c r="L9" s="6" t="str">
        <x:v>P1</x:v>
      </x:c>
      <x:c r="M9" s="6" t="str">
        <x:v>Find service/boost authorization dates</x:v>
      </x:c>
    </x:row>
    <x:row r="10">
      <x:c r="B10" s="6" t="str">
        <x:v>1 Foundations</x:v>
      </x:c>
      <x:c r="C10" s="6" t="str">
        <x:v>Identity</x:v>
      </x:c>
      <x:c r="D10" s="6" t="str">
        <x:v>manufacturer</x:v>
      </x:c>
      <x:c r="E10" s="6" t="str">
        <x:v>Aircraft manufacturer</x:v>
      </x:c>
      <x:c r="F10" s="6" t="str">
        <x:v>text</x:v>
      </x:c>
      <x:c r="G10" s="6" t="str">
        <x:v>Raw</x:v>
      </x:c>
      <x:c r="H10" s="6" t="str">
        <x:v>Original manufacturer</x:v>
      </x:c>
      <x:c r="I10" s="6" t="str">
        <x:v>USAAF flight-test or pilot/engineering manual</x:v>
      </x:c>
      <x:c r="J10" s="6" t="str">
        <x:v>Historical</x:v>
      </x:c>
      <x:c r="K10" s="6" t="str">
        <x:v>North American</x:v>
      </x:c>
      <x:c r="L10" s="6" t="str">
        <x:v>P2</x:v>
      </x:c>
      <x:c r="M10" s="6" t="str"/>
    </x:row>
    <x:row r="11">
      <x:c r="B11" s="6" t="str">
        <x:v>1 Foundations</x:v>
      </x:c>
      <x:c r="C11" s="6" t="str">
        <x:v>Identity</x:v>
      </x:c>
      <x:c r="D11" s="6" t="str">
        <x:v>engine_model</x:v>
      </x:c>
      <x:c r="E11" s="6" t="str">
        <x:v>Installed engine type</x:v>
      </x:c>
      <x:c r="F11" s="6" t="str">
        <x:v>text</x:v>
      </x:c>
      <x:c r="G11" s="6" t="str">
        <x:v>Raw</x:v>
      </x:c>
      <x:c r="H11" s="6" t="str">
        <x:v>Engine variant, not family</x:v>
      </x:c>
      <x:c r="I11" s="6" t="str">
        <x:v>USAAF flight-test or pilot/engineering manual</x:v>
      </x:c>
      <x:c r="J11" s="6" t="str">
        <x:v>Historical</x:v>
      </x:c>
      <x:c r="K11" s="6" t="str">
        <x:v>V-1650-7</x:v>
      </x:c>
      <x:c r="L11" s="6" t="str">
        <x:v>P0</x:v>
      </x:c>
      <x:c r="M11" s="6" t="str"/>
    </x:row>
    <x:row r="12">
      <x:c r="B12" s="6" t="str">
        <x:v>1 Foundations</x:v>
      </x:c>
      <x:c r="C12" s="6" t="str">
        <x:v>Identity</x:v>
      </x:c>
      <x:c r="D12" s="6" t="str">
        <x:v>prop_model</x:v>
      </x:c>
      <x:c r="E12" s="6" t="str">
        <x:v>Installed propeller</x:v>
      </x:c>
      <x:c r="F12" s="6" t="str">
        <x:v>text</x:v>
      </x:c>
      <x:c r="G12" s="6" t="str">
        <x:v>Raw</x:v>
      </x:c>
      <x:c r="H12" s="6" t="str">
        <x:v>Exact propeller/blade variant</x:v>
      </x:c>
      <x:c r="I12" s="6" t="str">
        <x:v>USAAF flight-test or pilot/engineering manual</x:v>
      </x:c>
      <x:c r="J12" s="6" t="str">
        <x:v>Historical</x:v>
      </x:c>
      <x:c r="K12" s="6" t="str">
        <x:v>Hamilton Standard Hydromatic</x:v>
      </x:c>
      <x:c r="L12" s="6" t="str">
        <x:v>P0</x:v>
      </x:c>
      <x:c r="M12" s="6" t="str"/>
    </x:row>
    <x:row r="13">
      <x:c r="B13" s="6" t="str">
        <x:v>1 Foundations</x:v>
      </x:c>
      <x:c r="C13" s="6" t="str">
        <x:v>Identity</x:v>
      </x:c>
      <x:c r="D13" s="6" t="str">
        <x:v>test_configuration</x:v>
      </x:c>
      <x:c r="E13" s="6" t="str">
        <x:v>Test configuration</x:v>
      </x:c>
      <x:c r="F13" s="6" t="str">
        <x:v>text</x:v>
      </x:c>
      <x:c r="G13" s="6" t="str">
        <x:v>Raw</x:v>
      </x:c>
      <x:c r="H13" s="6" t="str">
        <x:v>Racks, gear, flaps, shutters and finish</x:v>
      </x:c>
      <x:c r="I13" s="6" t="str">
        <x:v>USAAF flight-test or pilot/engineering manual</x:v>
      </x:c>
      <x:c r="J13" s="6" t="str">
        <x:v>Historical</x:v>
      </x:c>
      <x:c r="K13" s="6" t="str">
        <x:v>Wing racks fitted</x:v>
      </x:c>
      <x:c r="L13" s="6" t="str">
        <x:v>P0</x:v>
      </x:c>
      <x:c r="M13" s="6" t="str"/>
    </x:row>
    <x:row r="14">
      <x:c r="B14" s="6" t="str">
        <x:v>1 Foundations</x:v>
      </x:c>
      <x:c r="C14" s="6" t="str">
        <x:v>Identity</x:v>
      </x:c>
      <x:c r="D14" s="6" t="str">
        <x:v>source_id</x:v>
      </x:c>
      <x:c r="E14" s="6" t="str">
        <x:v>Primary source ID</x:v>
      </x:c>
      <x:c r="F14" s="6" t="str">
        <x:v>text</x:v>
      </x:c>
      <x:c r="G14" s="6" t="str">
        <x:v>Raw</x:v>
      </x:c>
      <x:c r="H14" s="6" t="str">
        <x:v>Document, report/page/figure and source classification</x:v>
      </x:c>
      <x:c r="I14" s="6" t="str">
        <x:v>USAAF flight-test or pilot/engineering manual</x:v>
      </x:c>
      <x:c r="J14" s="6" t="str">
        <x:v>Historical</x:v>
      </x:c>
      <x:c r="K14" s="6" t="str">
        <x:v>Eng-47-1715-A</x:v>
      </x:c>
      <x:c r="L14" s="6" t="str">
        <x:v>P0</x:v>
      </x:c>
      <x:c r="M14" s="6" t="str"/>
    </x:row>
    <x:row r="15">
      <x:c r="B15" s="6" t="str">
        <x:v>1 Foundations</x:v>
      </x:c>
      <x:c r="C15" s="6" t="str">
        <x:v>Identity</x:v>
      </x:c>
      <x:c r="D15" s="6" t="str">
        <x:v>quality_grade</x:v>
      </x:c>
      <x:c r="E15" s="6" t="str">
        <x:v>Source quality grade</x:v>
      </x:c>
      <x:c r="F15" s="6" t="str">
        <x:v>A-D</x:v>
      </x:c>
      <x:c r="G15" s="6" t="str">
        <x:v>Metadata</x:v>
      </x:c>
      <x:c r="H15" s="6" t="str">
        <x:v>A measured, B historical calculation, C reconstruction, D assumption</x:v>
      </x:c>
      <x:c r="I15" s="6" t="str">
        <x:v>Physical model, calibrated to original flight observations</x:v>
      </x:c>
      <x:c r="J15" s="6" t="str">
        <x:v>Historical</x:v>
      </x:c>
      <x:c r="K15" s="6" t="str">
        <x:v>A/B</x:v>
      </x:c>
      <x:c r="L15" s="6" t="str">
        <x:v>P0</x:v>
      </x:c>
      <x:c r="M15" s="6" t="str"/>
    </x:row>
    <x:row r="16">
      <x:c r="B16" s="6" t="str">
        <x:v>1 Foundations</x:v>
      </x:c>
      <x:c r="C16" s="6" t="str">
        <x:v>Identity</x:v>
      </x:c>
      <x:c r="D16" s="6" t="str">
        <x:v>measurement_type</x:v>
      </x:c>
      <x:c r="E16" s="6" t="str">
        <x:v>Measured vs calculated</x:v>
      </x:c>
      <x:c r="F16" s="6" t="str">
        <x:v>enum</x:v>
      </x:c>
      <x:c r="G16" s="6" t="str">
        <x:v>Metadata</x:v>
      </x:c>
      <x:c r="H16" s="6" t="str">
        <x:v>Do not present an engine chart as a dynamometer measurement</x:v>
      </x:c>
      <x:c r="I16" s="6" t="str">
        <x:v>USAAF flight-test or pilot/engineering manual</x:v>
      </x:c>
      <x:c r="J16" s="6" t="str">
        <x:v>Historical</x:v>
      </x:c>
      <x:c r="K16" s="6" t="str">
        <x:v>BHP from Packard chart</x:v>
      </x:c>
      <x:c r="L16" s="6" t="str">
        <x:v>P0</x:v>
      </x:c>
      <x:c r="M16" s="6" t="str"/>
    </x:row>
    <x:row r="17">
      <x:c r="B17" s="6" t="str">
        <x:v>1 Foundations</x:v>
      </x:c>
      <x:c r="C17" s="6" t="str">
        <x:v>Geometry</x:v>
      </x:c>
      <x:c r="D17" s="6" t="str">
        <x:v>wing_area</x:v>
      </x:c>
      <x:c r="E17" s="6" t="str">
        <x:v>Wing area</x:v>
      </x:c>
      <x:c r="F17" s="6" t="str">
        <x:v>ft²</x:v>
      </x:c>
      <x:c r="G17" s="6" t="str">
        <x:v>Raw</x:v>
      </x:c>
      <x:c r="H17" s="6" t="str">
        <x:v>Full planform reference area</x:v>
      </x:c>
      <x:c r="I17" s="6" t="str">
        <x:v>USAAF flight-test or pilot/engineering manual</x:v>
      </x:c>
      <x:c r="J17" s="6" t="str">
        <x:v>Historical</x:v>
      </x:c>
      <x:c r="K17" s="6" t="n">
        <x:v>233</x:v>
      </x:c>
      <x:c r="L17" s="6" t="str">
        <x:v>P0</x:v>
      </x:c>
      <x:c r="M17" s="6" t="str"/>
    </x:row>
    <x:row r="18">
      <x:c r="B18" s="6" t="str">
        <x:v>1 Foundations</x:v>
      </x:c>
      <x:c r="C18" s="6" t="str">
        <x:v>Geometry</x:v>
      </x:c>
      <x:c r="D18" s="6" t="str">
        <x:v>wingspan</x:v>
      </x:c>
      <x:c r="E18" s="6" t="str">
        <x:v>Wingspan</x:v>
      </x:c>
      <x:c r="F18" s="6" t="str">
        <x:v>ft</x:v>
      </x:c>
      <x:c r="G18" s="6" t="str">
        <x:v>Raw</x:v>
      </x:c>
      <x:c r="H18" s="6" t="str">
        <x:v>Wing tip-to-tip dimension</x:v>
      </x:c>
      <x:c r="I18" s="6" t="str">
        <x:v>USAAF flight-test or pilot/engineering manual</x:v>
      </x:c>
      <x:c r="J18" s="6" t="str">
        <x:v>Historical</x:v>
      </x:c>
      <x:c r="K18" s="6" t="n">
        <x:v>37</x:v>
      </x:c>
      <x:c r="L18" s="6" t="str">
        <x:v>P0</x:v>
      </x:c>
      <x:c r="M18" s="6" t="str"/>
    </x:row>
    <x:row r="19">
      <x:c r="B19" s="6" t="str">
        <x:v>1 Foundations</x:v>
      </x:c>
      <x:c r="C19" s="6" t="str">
        <x:v>Geometry</x:v>
      </x:c>
      <x:c r="D19" s="6" t="str">
        <x:v>aspect_ratio</x:v>
      </x:c>
      <x:c r="E19" s="6" t="str">
        <x:v>Wing aspect ratio</x:v>
      </x:c>
      <x:c r="F19" s="6" t="str">
        <x:v>ratio</x:v>
      </x:c>
      <x:c r="G19" s="6" t="str">
        <x:v>Derived</x:v>
      </x:c>
      <x:c r="H19" s="6" t="str">
        <x:v>Span² divided by wing area</x:v>
      </x:c>
      <x:c r="I19" s="6" t="str">
        <x:v>Physical model, calibrated to original flight observations</x:v>
      </x:c>
      <x:c r="J19" s="6" t="str">
        <x:v>Derived</x:v>
      </x:c>
      <x:c r="K19" s="6" t="n">
        <x:v>5.876</x:v>
      </x:c>
      <x:c r="L19" s="6" t="str">
        <x:v>P0</x:v>
      </x:c>
      <x:c r="M19" s="6" t="str"/>
    </x:row>
    <x:row r="20">
      <x:c r="B20" s="6" t="str">
        <x:v>1 Foundations</x:v>
      </x:c>
      <x:c r="C20" s="6" t="str">
        <x:v>Geometry</x:v>
      </x:c>
      <x:c r="D20" s="6" t="str">
        <x:v>mean_chord</x:v>
      </x:c>
      <x:c r="E20" s="6" t="str">
        <x:v>Mean aerodynamic chord</x:v>
      </x:c>
      <x:c r="F20" s="6" t="str">
        <x:v>ft</x:v>
      </x:c>
      <x:c r="G20" s="6" t="str">
        <x:v>Raw</x:v>
      </x:c>
      <x:c r="H20" s="6" t="str">
        <x:v>MAC for CG and aerodynamics</x:v>
      </x:c>
      <x:c r="I20" s="6" t="str">
        <x:v>USAAF flight-test or pilot/engineering manual</x:v>
      </x:c>
      <x:c r="J20" s="6" t="str">
        <x:v>Missing</x:v>
      </x:c>
      <x:c r="K20" s="6" t="str"/>
      <x:c r="L20" s="6" t="str">
        <x:v>P1</x:v>
      </x:c>
      <x:c r="M20" s="6" t="str">
        <x:v>Find drawings</x:v>
      </x:c>
    </x:row>
    <x:row r="21">
      <x:c r="B21" s="6" t="str">
        <x:v>1 Foundations</x:v>
      </x:c>
      <x:c r="C21" s="6" t="str">
        <x:v>Geometry</x:v>
      </x:c>
      <x:c r="D21" s="6" t="str">
        <x:v>wing_taper</x:v>
      </x:c>
      <x:c r="E21" s="6" t="str">
        <x:v>Wing taper ratio</x:v>
      </x:c>
      <x:c r="F21" s="6" t="str">
        <x:v>ratio</x:v>
      </x:c>
      <x:c r="G21" s="6" t="str">
        <x:v>Raw</x:v>
      </x:c>
      <x:c r="H21" s="6" t="str">
        <x:v>Tip chord / root chord</x:v>
      </x:c>
      <x:c r="I21" s="6" t="str">
        <x:v>USAAF flight-test or pilot/engineering manual</x:v>
      </x:c>
      <x:c r="J21" s="6" t="str">
        <x:v>Missing</x:v>
      </x:c>
      <x:c r="K21" s="6" t="str"/>
      <x:c r="L21" s="6" t="str">
        <x:v>P2</x:v>
      </x:c>
      <x:c r="M21" s="6" t="str">
        <x:v>Find wing geometry</x:v>
      </x:c>
    </x:row>
    <x:row r="22">
      <x:c r="B22" s="6" t="str">
        <x:v>1 Foundations</x:v>
      </x:c>
      <x:c r="C22" s="6" t="str">
        <x:v>Geometry</x:v>
      </x:c>
      <x:c r="D22" s="6" t="str">
        <x:v>wing_twist</x:v>
      </x:c>
      <x:c r="E22" s="6" t="str">
        <x:v>Geometric twist</x:v>
      </x:c>
      <x:c r="F22" s="6" t="str">
        <x:v>deg</x:v>
      </x:c>
      <x:c r="G22" s="6" t="str">
        <x:v>Raw</x:v>
      </x:c>
      <x:c r="H22" s="6" t="str">
        <x:v>Spanwise incidence distribution</x:v>
      </x:c>
      <x:c r="I22" s="6" t="str">
        <x:v>USAAF flight-test or pilot/engineering manual</x:v>
      </x:c>
      <x:c r="J22" s="6" t="str">
        <x:v>Missing</x:v>
      </x:c>
      <x:c r="K22" s="6" t="str"/>
      <x:c r="L22" s="6" t="str">
        <x:v>P2</x:v>
      </x:c>
      <x:c r="M22" s="6" t="str">
        <x:v>Find engineering drawing</x:v>
      </x:c>
    </x:row>
    <x:row r="23">
      <x:c r="B23" s="6" t="str">
        <x:v>1 Foundations</x:v>
      </x:c>
      <x:c r="C23" s="6" t="str">
        <x:v>Geometry</x:v>
      </x:c>
      <x:c r="D23" s="6" t="str">
        <x:v>airfoil_root</x:v>
      </x:c>
      <x:c r="E23" s="6" t="str">
        <x:v>Root airfoil section</x:v>
      </x:c>
      <x:c r="F23" s="6" t="str">
        <x:v>designation</x:v>
      </x:c>
      <x:c r="G23" s="6" t="str">
        <x:v>Raw</x:v>
      </x:c>
      <x:c r="H23" s="6" t="str">
        <x:v>Exact installed section and modifications</x:v>
      </x:c>
      <x:c r="I23" s="6" t="str">
        <x:v>NACA or original wind-tunnel / flight investigation</x:v>
      </x:c>
      <x:c r="J23" s="6" t="str">
        <x:v>Missing</x:v>
      </x:c>
      <x:c r="K23" s="6" t="str"/>
      <x:c r="L23" s="6" t="str">
        <x:v>P1</x:v>
      </x:c>
      <x:c r="M23" s="6" t="str">
        <x:v>NACA/manufacturer section data</x:v>
      </x:c>
    </x:row>
    <x:row r="24">
      <x:c r="B24" s="6" t="str">
        <x:v>1 Foundations</x:v>
      </x:c>
      <x:c r="C24" s="6" t="str">
        <x:v>Geometry</x:v>
      </x:c>
      <x:c r="D24" s="6" t="str">
        <x:v>airfoil_tip</x:v>
      </x:c>
      <x:c r="E24" s="6" t="str">
        <x:v>Tip airfoil section</x:v>
      </x:c>
      <x:c r="F24" s="6" t="str">
        <x:v>designation</x:v>
      </x:c>
      <x:c r="G24" s="6" t="str">
        <x:v>Raw</x:v>
      </x:c>
      <x:c r="H24" s="6" t="str">
        <x:v>Spanwise changes</x:v>
      </x:c>
      <x:c r="I24" s="6" t="str">
        <x:v>NACA or original wind-tunnel / flight investigation</x:v>
      </x:c>
      <x:c r="J24" s="6" t="str">
        <x:v>Missing</x:v>
      </x:c>
      <x:c r="K24" s="6" t="str"/>
      <x:c r="L24" s="6" t="str">
        <x:v>P1</x:v>
      </x:c>
      <x:c r="M24" s="6" t="str">
        <x:v>NACA/manufacturer section data</x:v>
      </x:c>
    </x:row>
    <x:row r="25">
      <x:c r="B25" s="6" t="str">
        <x:v>1 Foundations</x:v>
      </x:c>
      <x:c r="C25" s="6" t="str">
        <x:v>Geometry</x:v>
      </x:c>
      <x:c r="D25" s="6" t="str">
        <x:v>flap_geometry</x:v>
      </x:c>
      <x:c r="E25" s="6" t="str">
        <x:v>Flap type/span/area</x:v>
      </x:c>
      <x:c r="F25" s="6" t="str">
        <x:v>mixed</x:v>
      </x:c>
      <x:c r="G25" s="6" t="str">
        <x:v>Raw</x:v>
      </x:c>
      <x:c r="H25" s="6" t="str">
        <x:v>Changes CLmax and drag</x:v>
      </x:c>
      <x:c r="I25" s="6" t="str">
        <x:v>USAAF flight-test or pilot/engineering manual</x:v>
      </x:c>
      <x:c r="J25" s="6" t="str">
        <x:v>Missing</x:v>
      </x:c>
      <x:c r="K25" s="6" t="str"/>
      <x:c r="L25" s="6" t="str">
        <x:v>P1</x:v>
      </x:c>
      <x:c r="M25" s="6" t="str">
        <x:v>Pilot/manual drawing</x:v>
      </x:c>
    </x:row>
    <x:row r="26">
      <x:c r="B26" s="6" t="str">
        <x:v>1 Foundations</x:v>
      </x:c>
      <x:c r="C26" s="6" t="str">
        <x:v>Geometry</x:v>
      </x:c>
      <x:c r="D26" s="6" t="str">
        <x:v>control_geometry</x:v>
      </x:c>
      <x:c r="E26" s="6" t="str">
        <x:v>Aileron/elevator/rudder geometry</x:v>
      </x:c>
      <x:c r="F26" s="6" t="str">
        <x:v>mixed</x:v>
      </x:c>
      <x:c r="G26" s="6" t="str">
        <x:v>Raw</x:v>
      </x:c>
      <x:c r="H26" s="6" t="str">
        <x:v>Controls and high-speed behavior</x:v>
      </x:c>
      <x:c r="I26" s="6" t="str">
        <x:v>USAAF flight-test or pilot/engineering manual</x:v>
      </x:c>
      <x:c r="J26" s="6" t="str">
        <x:v>Missing</x:v>
      </x:c>
      <x:c r="K26" s="6" t="str"/>
      <x:c r="L26" s="6" t="str">
        <x:v>P2</x:v>
      </x:c>
      <x:c r="M26" s="6" t="str">
        <x:v>NACA controls tests</x:v>
      </x:c>
    </x:row>
    <x:row r="27">
      <x:c r="B27" s="6" t="str">
        <x:v>1 Foundations</x:v>
      </x:c>
      <x:c r="C27" s="6" t="str">
        <x:v>Geometry</x:v>
      </x:c>
      <x:c r="D27" s="6" t="str">
        <x:v>radiator_geometry</x:v>
      </x:c>
      <x:c r="E27" s="6" t="str">
        <x:v>Cooling inlet/outlet geometry</x:v>
      </x:c>
      <x:c r="F27" s="6" t="str">
        <x:v>mixed</x:v>
      </x:c>
      <x:c r="G27" s="6" t="str">
        <x:v>Raw</x:v>
      </x:c>
      <x:c r="H27" s="6" t="str">
        <x:v>Cooling and installation drag</x:v>
      </x:c>
      <x:c r="I27" s="6" t="str">
        <x:v>USAAF flight-test or pilot/engineering manual</x:v>
      </x:c>
      <x:c r="J27" s="6" t="str">
        <x:v>Partial</x:v>
      </x:c>
      <x:c r="K27" s="6" t="str">
        <x:v>Automatic shutters</x:v>
      </x:c>
      <x:c r="L27" s="6" t="str">
        <x:v>P1</x:v>
      </x:c>
      <x:c r="M27" s="6" t="str">
        <x:v>Radiator drag map missing</x:v>
      </x:c>
    </x:row>
    <x:row r="28">
      <x:c r="B28" s="6" t="str">
        <x:v>1 Foundations</x:v>
      </x:c>
      <x:c r="C28" s="6" t="str">
        <x:v>Mass</x:v>
      </x:c>
      <x:c r="D28" s="6" t="str">
        <x:v>empty_weight</x:v>
      </x:c>
      <x:c r="E28" s="6" t="str">
        <x:v>Empty weight</x:v>
      </x:c>
      <x:c r="F28" s="6" t="str">
        <x:v>lb</x:v>
      </x:c>
      <x:c r="G28" s="6" t="str">
        <x:v>Raw</x:v>
      </x:c>
      <x:c r="H28" s="6" t="str">
        <x:v>Variant-specific standard empty mass</x:v>
      </x:c>
      <x:c r="I28" s="6" t="str">
        <x:v>USAAF flight-test or pilot/engineering manual</x:v>
      </x:c>
      <x:c r="J28" s="6" t="str">
        <x:v>Missing</x:v>
      </x:c>
      <x:c r="K28" s="6" t="str"/>
      <x:c r="L28" s="6" t="str">
        <x:v>P1</x:v>
      </x:c>
      <x:c r="M28" s="6" t="str">
        <x:v>Original loading schedule</x:v>
      </x:c>
    </x:row>
    <x:row r="29">
      <x:c r="B29" s="6" t="str">
        <x:v>1 Foundations</x:v>
      </x:c>
      <x:c r="C29" s="6" t="str">
        <x:v>Mass</x:v>
      </x:c>
      <x:c r="D29" s="6" t="str">
        <x:v>takeoff_weight</x:v>
      </x:c>
      <x:c r="E29" s="6" t="str">
        <x:v>Test takeoff weight</x:v>
      </x:c>
      <x:c r="F29" s="6" t="str">
        <x:v>lb</x:v>
      </x:c>
      <x:c r="G29" s="6" t="str">
        <x:v>Raw</x:v>
      </x:c>
      <x:c r="H29" s="6" t="str">
        <x:v>Mass at departure, not universal combat mass</x:v>
      </x:c>
      <x:c r="I29" s="6" t="str">
        <x:v>USAAF flight-test or pilot/engineering manual</x:v>
      </x:c>
      <x:c r="J29" s="6" t="str">
        <x:v>Historical</x:v>
      </x:c>
      <x:c r="K29" s="6" t="n">
        <x:v>9335</x:v>
      </x:c>
      <x:c r="L29" s="6" t="str">
        <x:v>P0</x:v>
      </x:c>
      <x:c r="M29" s="6" t="str"/>
    </x:row>
    <x:row r="30">
      <x:c r="B30" s="6" t="str">
        <x:v>1 Foundations</x:v>
      </x:c>
      <x:c r="C30" s="6" t="str">
        <x:v>Mass</x:v>
      </x:c>
      <x:c r="D30" s="6" t="str">
        <x:v>weight_at_point</x:v>
      </x:c>
      <x:c r="E30" s="6" t="str">
        <x:v>Weight at flight-test point</x:v>
      </x:c>
      <x:c r="F30" s="6" t="str">
        <x:v>lb</x:v>
      </x:c>
      <x:c r="G30" s="6" t="str">
        <x:v>Raw</x:v>
      </x:c>
      <x:c r="H30" s="6" t="str">
        <x:v>Specific observation/reference weight</x:v>
      </x:c>
      <x:c r="I30" s="6" t="str">
        <x:v>USAAF flight-test or pilot/engineering manual</x:v>
      </x:c>
      <x:c r="J30" s="6" t="str">
        <x:v>Partial</x:v>
      </x:c>
      <x:c r="K30" s="6" t="n">
        <x:v>9240</x:v>
      </x:c>
      <x:c r="L30" s="6" t="str">
        <x:v>P0</x:v>
      </x:c>
      <x:c r="M30" s="6" t="str">
        <x:v>Known at 22,400 ft only</x:v>
      </x:c>
    </x:row>
    <x:row r="31">
      <x:c r="B31" s="6" t="str">
        <x:v>1 Foundations</x:v>
      </x:c>
      <x:c r="C31" s="6" t="str">
        <x:v>Mass</x:v>
      </x:c>
      <x:c r="D31" s="6" t="str">
        <x:v>fuel_capacity</x:v>
      </x:c>
      <x:c r="E31" s="6" t="str">
        <x:v>Fuel carried</x:v>
      </x:c>
      <x:c r="F31" s="6" t="str">
        <x:v>US gal</x:v>
      </x:c>
      <x:c r="G31" s="6" t="str">
        <x:v>Raw</x:v>
      </x:c>
      <x:c r="H31" s="6" t="str">
        <x:v>Test fuel distribution</x:v>
      </x:c>
      <x:c r="I31" s="6" t="str">
        <x:v>USAAF flight-test or pilot/engineering manual</x:v>
      </x:c>
      <x:c r="J31" s="6" t="str">
        <x:v>Historical</x:v>
      </x:c>
      <x:c r="K31" s="6" t="n">
        <x:v>265</x:v>
      </x:c>
      <x:c r="L31" s="6" t="str">
        <x:v>P1</x:v>
      </x:c>
      <x:c r="M31" s="6" t="str"/>
    </x:row>
    <x:row r="32">
      <x:c r="B32" s="6" t="str">
        <x:v>1 Foundations</x:v>
      </x:c>
      <x:c r="C32" s="6" t="str">
        <x:v>Mass</x:v>
      </x:c>
      <x:c r="D32" s="6" t="str">
        <x:v>oil_quantity</x:v>
      </x:c>
      <x:c r="E32" s="6" t="str">
        <x:v>Oil quantity</x:v>
      </x:c>
      <x:c r="F32" s="6" t="str">
        <x:v>US gal</x:v>
      </x:c>
      <x:c r="G32" s="6" t="str">
        <x:v>Raw</x:v>
      </x:c>
      <x:c r="H32" s="6" t="str">
        <x:v>Loading and thermal capacity</x:v>
      </x:c>
      <x:c r="I32" s="6" t="str">
        <x:v>USAAF flight-test or pilot/engineering manual</x:v>
      </x:c>
      <x:c r="J32" s="6" t="str">
        <x:v>Partial</x:v>
      </x:c>
      <x:c r="K32" s="6" t="str">
        <x:v>Full oil</x:v>
      </x:c>
      <x:c r="L32" s="6" t="str">
        <x:v>P2</x:v>
      </x:c>
      <x:c r="M32" s="6" t="str">
        <x:v>Find volume</x:v>
      </x:c>
    </x:row>
    <x:row r="33">
      <x:c r="B33" s="6" t="str">
        <x:v>1 Foundations</x:v>
      </x:c>
      <x:c r="C33" s="6" t="str">
        <x:v>Mass</x:v>
      </x:c>
      <x:c r="D33" s="6" t="str">
        <x:v>pilot_weight</x:v>
      </x:c>
      <x:c r="E33" s="6" t="str">
        <x:v>Pilot weight</x:v>
      </x:c>
      <x:c r="F33" s="6" t="str">
        <x:v>lb</x:v>
      </x:c>
      <x:c r="G33" s="6" t="str">
        <x:v>Raw</x:v>
      </x:c>
      <x:c r="H33" s="6" t="str">
        <x:v>Test gross weight composition</x:v>
      </x:c>
      <x:c r="I33" s="6" t="str">
        <x:v>USAAF flight-test or pilot/engineering manual</x:v>
      </x:c>
      <x:c r="J33" s="6" t="str">
        <x:v>Historical</x:v>
      </x:c>
      <x:c r="K33" s="6" t="n">
        <x:v>200</x:v>
      </x:c>
      <x:c r="L33" s="6" t="str">
        <x:v>P2</x:v>
      </x:c>
      <x:c r="M33" s="6" t="str"/>
    </x:row>
    <x:row r="34">
      <x:c r="B34" s="6" t="str">
        <x:v>1 Foundations</x:v>
      </x:c>
      <x:c r="C34" s="6" t="str">
        <x:v>Mass</x:v>
      </x:c>
      <x:c r="D34" s="6" t="str">
        <x:v>ammo_weight</x:v>
      </x:c>
      <x:c r="E34" s="6" t="str">
        <x:v>Ammunition weight</x:v>
      </x:c>
      <x:c r="F34" s="6" t="str">
        <x:v>lb</x:v>
      </x:c>
      <x:c r="G34" s="6" t="str">
        <x:v>Raw</x:v>
      </x:c>
      <x:c r="H34" s="6" t="str">
        <x:v>Mass varies during mission</x:v>
      </x:c>
      <x:c r="I34" s="6" t="str">
        <x:v>USAAF flight-test or pilot/engineering manual</x:v>
      </x:c>
      <x:c r="J34" s="6" t="str">
        <x:v>Partial</x:v>
      </x:c>
      <x:c r="K34" s="6" t="n">
        <x:v>378</x:v>
      </x:c>
      <x:c r="L34" s="6" t="str">
        <x:v>P1</x:v>
      </x:c>
      <x:c r="M34" s="6" t="str">
        <x:v>Exact rounds at each test condition</x:v>
      </x:c>
    </x:row>
    <x:row r="35">
      <x:c r="B35" s="6" t="str">
        <x:v>1 Foundations</x:v>
      </x:c>
      <x:c r="C35" s="6" t="str">
        <x:v>Mass</x:v>
      </x:c>
      <x:c r="D35" s="6" t="str">
        <x:v>tank_weight</x:v>
      </x:c>
      <x:c r="E35" s="6" t="str">
        <x:v>External tanks / racks weight</x:v>
      </x:c>
      <x:c r="F35" s="6" t="str">
        <x:v>lb</x:v>
      </x:c>
      <x:c r="G35" s="6" t="str">
        <x:v>Raw</x:v>
      </x:c>
      <x:c r="H35" s="6" t="str">
        <x:v>Mass and drag</x:v>
      </x:c>
      <x:c r="I35" s="6" t="str">
        <x:v>USAAF flight-test or pilot/engineering manual</x:v>
      </x:c>
      <x:c r="J35" s="6" t="str">
        <x:v>Partial</x:v>
      </x:c>
      <x:c r="K35" s="6" t="str">
        <x:v>Racks fitted</x:v>
      </x:c>
      <x:c r="L35" s="6" t="str">
        <x:v>P1</x:v>
      </x:c>
      <x:c r="M35" s="6" t="str">
        <x:v>Separate empty rack from tank</x:v>
      </x:c>
    </x:row>
    <x:row r="36">
      <x:c r="B36" s="6" t="str">
        <x:v>1 Foundations</x:v>
      </x:c>
      <x:c r="C36" s="6" t="str">
        <x:v>Mass</x:v>
      </x:c>
      <x:c r="D36" s="6" t="str">
        <x:v>armour_weight</x:v>
      </x:c>
      <x:c r="E36" s="6" t="str">
        <x:v>Armour / modifications mass</x:v>
      </x:c>
      <x:c r="F36" s="6" t="str">
        <x:v>lb</x:v>
      </x:c>
      <x:c r="G36" s="6" t="str">
        <x:v>Raw</x:v>
      </x:c>
      <x:c r="H36" s="6" t="str">
        <x:v>Variant changes</x:v>
      </x:c>
      <x:c r="I36" s="6" t="str">
        <x:v>USAAF flight-test or pilot/engineering manual</x:v>
      </x:c>
      <x:c r="J36" s="6" t="str">
        <x:v>Missing</x:v>
      </x:c>
      <x:c r="K36" s="6" t="str"/>
      <x:c r="L36" s="6" t="str">
        <x:v>P2</x:v>
      </x:c>
      <x:c r="M36" s="6" t="str">
        <x:v>Original loading</x:v>
      </x:c>
    </x:row>
    <x:row r="37">
      <x:c r="B37" s="6" t="str">
        <x:v>1 Foundations</x:v>
      </x:c>
      <x:c r="C37" s="6" t="str">
        <x:v>Mass</x:v>
      </x:c>
      <x:c r="D37" s="6" t="str">
        <x:v>center_of_gravity</x:v>
      </x:c>
      <x:c r="E37" s="6" t="str">
        <x:v>Center of gravity</x:v>
      </x:c>
      <x:c r="F37" s="6" t="str">
        <x:v>% MAC</x:v>
      </x:c>
      <x:c r="G37" s="6" t="str">
        <x:v>Raw</x:v>
      </x:c>
      <x:c r="H37" s="6" t="str">
        <x:v>Handling/trim limits</x:v>
      </x:c>
      <x:c r="I37" s="6" t="str">
        <x:v>USAAF flight-test or pilot/engineering manual</x:v>
      </x:c>
      <x:c r="J37" s="6" t="str">
        <x:v>Historical</x:v>
      </x:c>
      <x:c r="K37" s="6" t="n">
        <x:v>31.07</x:v>
      </x:c>
      <x:c r="L37" s="6" t="str">
        <x:v>P1</x:v>
      </x:c>
      <x:c r="M37" s="6" t="str">
        <x:v>Gear-down test datum</x:v>
      </x:c>
    </x:row>
    <x:row r="38">
      <x:c r="B38" s="6" t="str">
        <x:v>1 Foundations</x:v>
      </x:c>
      <x:c r="C38" s="6" t="str">
        <x:v>Engine</x:v>
      </x:c>
      <x:c r="D38" s="6" t="str">
        <x:v>manifold_pressure</x:v>
      </x:c>
      <x:c r="E38" s="6" t="str">
        <x:v>Manifold pressure</x:v>
      </x:c>
      <x:c r="F38" s="6" t="str">
        <x:v>inHg</x:v>
      </x:c>
      <x:c r="G38" s="6" t="str">
        <x:v>Raw</x:v>
      </x:c>
      <x:c r="H38" s="6" t="str">
        <x:v>Per engine rating, not generic boost slider</x:v>
      </x:c>
      <x:c r="I38" s="6" t="str">
        <x:v>Original engine or propeller manufacturer chart</x:v>
      </x:c>
      <x:c r="J38" s="6" t="str">
        <x:v>Historical</x:v>
      </x:c>
      <x:c r="K38" s="6" t="str">
        <x:v>67 / 75</x:v>
      </x:c>
      <x:c r="L38" s="6" t="str">
        <x:v>P0</x:v>
      </x:c>
      <x:c r="M38" s="6" t="str"/>
    </x:row>
    <x:row r="39">
      <x:c r="B39" s="6" t="str">
        <x:v>1 Foundations</x:v>
      </x:c>
      <x:c r="C39" s="6" t="str">
        <x:v>Engine</x:v>
      </x:c>
      <x:c r="D39" s="6" t="str">
        <x:v>rpm</x:v>
      </x:c>
      <x:c r="E39" s="6" t="str">
        <x:v>Engine RPM</x:v>
      </x:c>
      <x:c r="F39" s="6" t="str">
        <x:v>rpm</x:v>
      </x:c>
      <x:c r="G39" s="6" t="str">
        <x:v>Raw</x:v>
      </x:c>
      <x:c r="H39" s="6" t="str">
        <x:v>Rating-specific shaft speed</x:v>
      </x:c>
      <x:c r="I39" s="6" t="str">
        <x:v>Original engine or propeller manufacturer chart</x:v>
      </x:c>
      <x:c r="J39" s="6" t="str">
        <x:v>Historical</x:v>
      </x:c>
      <x:c r="K39" s="6" t="n">
        <x:v>3000</x:v>
      </x:c>
      <x:c r="L39" s="6" t="str">
        <x:v>P0</x:v>
      </x:c>
      <x:c r="M39" s="6" t="str"/>
    </x:row>
    <x:row r="40">
      <x:c r="B40" s="6" t="str">
        <x:v>1 Foundations</x:v>
      </x:c>
      <x:c r="C40" s="6" t="str">
        <x:v>Engine</x:v>
      </x:c>
      <x:c r="D40" s="6" t="str">
        <x:v>blower_stage</x:v>
      </x:c>
      <x:c r="E40" s="6" t="str">
        <x:v>Supercharger gear</x:v>
      </x:c>
      <x:c r="F40" s="6" t="str">
        <x:v>low/high</x:v>
      </x:c>
      <x:c r="G40" s="6" t="str">
        <x:v>Raw</x:v>
      </x:c>
      <x:c r="H40" s="6" t="str">
        <x:v>Stage-specific power maps</x:v>
      </x:c>
      <x:c r="I40" s="6" t="str">
        <x:v>Original engine or propeller manufacturer chart</x:v>
      </x:c>
      <x:c r="J40" s="6" t="str">
        <x:v>Historical</x:v>
      </x:c>
      <x:c r="K40" s="6" t="str">
        <x:v>Low / High</x:v>
      </x:c>
      <x:c r="L40" s="6" t="str">
        <x:v>P0</x:v>
      </x:c>
      <x:c r="M40" s="6" t="str"/>
    </x:row>
    <x:row r="41">
      <x:c r="B41" s="6" t="str">
        <x:v>1 Foundations</x:v>
      </x:c>
      <x:c r="C41" s="6" t="str">
        <x:v>Engine</x:v>
      </x:c>
      <x:c r="D41" s="6" t="str">
        <x:v>blower_ratio</x:v>
      </x:c>
      <x:c r="E41" s="6" t="str">
        <x:v>Supercharger ratio</x:v>
      </x:c>
      <x:c r="F41" s="6" t="str">
        <x:v>ratio</x:v>
      </x:c>
      <x:c r="G41" s="6" t="str">
        <x:v>Raw</x:v>
      </x:c>
      <x:c r="H41" s="6" t="str">
        <x:v>Drive ratio / gear shift</x:v>
      </x:c>
      <x:c r="I41" s="6" t="str">
        <x:v>Original engine or propeller manufacturer chart</x:v>
      </x:c>
      <x:c r="J41" s="6" t="str">
        <x:v>Missing</x:v>
      </x:c>
      <x:c r="K41" s="6" t="str"/>
      <x:c r="L41" s="6" t="str">
        <x:v>P1</x:v>
      </x:c>
      <x:c r="M41" s="6" t="str">
        <x:v>Packard manual</x:v>
      </x:c>
    </x:row>
    <x:row r="42">
      <x:c r="B42" s="6" t="str">
        <x:v>1 Foundations</x:v>
      </x:c>
      <x:c r="C42" s="6" t="str">
        <x:v>Engine</x:v>
      </x:c>
      <x:c r="D42" s="6" t="str">
        <x:v>critical_height</x:v>
      </x:c>
      <x:c r="E42" s="6" t="str">
        <x:v>Full-throttle height</x:v>
      </x:c>
      <x:c r="F42" s="6" t="str">
        <x:v>ft</x:v>
      </x:c>
      <x:c r="G42" s="6" t="str">
        <x:v>Raw</x:v>
      </x:c>
      <x:c r="H42" s="6" t="str">
        <x:v>By stage and rating</x:v>
      </x:c>
      <x:c r="I42" s="6" t="str">
        <x:v>USAAF flight-test or pilot/engineering manual</x:v>
      </x:c>
      <x:c r="J42" s="6" t="str">
        <x:v>Historical</x:v>
      </x:c>
      <x:c r="K42" s="6" t="str">
        <x:v>20,800 (75 high)</x:v>
      </x:c>
      <x:c r="L42" s="6" t="str">
        <x:v>P0</x:v>
      </x:c>
      <x:c r="M42" s="6" t="str"/>
    </x:row>
    <x:row r="43">
      <x:c r="B43" s="6" t="str">
        <x:v>1 Foundations</x:v>
      </x:c>
      <x:c r="C43" s="6" t="str">
        <x:v>Engine</x:v>
      </x:c>
      <x:c r="D43" s="6" t="str">
        <x:v>bhp_curve</x:v>
      </x:c>
      <x:c r="E43" s="6" t="str">
        <x:v>BHP at altitude</x:v>
      </x:c>
      <x:c r="F43" s="6" t="str">
        <x:v>bhp</x:v>
      </x:c>
      <x:c r="G43" s="6" t="str">
        <x:v>Raw/B</x:v>
      </x:c>
      <x:c r="H43" s="6" t="str">
        <x:v>Engine chart by rating/gear/altitude</x:v>
      </x:c>
      <x:c r="I43" s="6" t="str">
        <x:v>Original engine or propeller manufacturer chart</x:v>
      </x:c>
      <x:c r="J43" s="6" t="str">
        <x:v>Historical</x:v>
      </x:c>
      <x:c r="K43" s="6" t="n">
        <x:v>1390</x:v>
      </x:c>
      <x:c r="L43" s="6" t="str">
        <x:v>P0</x:v>
      </x:c>
      <x:c r="M43" s="6" t="str"/>
    </x:row>
    <x:row r="44">
      <x:c r="B44" s="6" t="str">
        <x:v>1 Foundations</x:v>
      </x:c>
      <x:c r="C44" s="6" t="str">
        <x:v>Engine</x:v>
      </x:c>
      <x:c r="D44" s="6" t="str">
        <x:v>rating_kind</x:v>
      </x:c>
      <x:c r="E44" s="6" t="str">
        <x:v>Continuous/combat/emergency</x:v>
      </x:c>
      <x:c r="F44" s="6" t="str">
        <x:v>enum</x:v>
      </x:c>
      <x:c r="G44" s="6" t="str">
        <x:v>Raw</x:v>
      </x:c>
      <x:c r="H44" s="6" t="str">
        <x:v>Power rating classification</x:v>
      </x:c>
      <x:c r="I44" s="6" t="str">
        <x:v>Original engine or propeller manufacturer chart</x:v>
      </x:c>
      <x:c r="J44" s="6" t="str">
        <x:v>Historical</x:v>
      </x:c>
      <x:c r="K44" s="6" t="str">
        <x:v>War emergency</x:v>
      </x:c>
      <x:c r="L44" s="6" t="str">
        <x:v>P0</x:v>
      </x:c>
      <x:c r="M44" s="6" t="str"/>
    </x:row>
    <x:row r="45">
      <x:c r="B45" s="6" t="str">
        <x:v>1 Foundations</x:v>
      </x:c>
      <x:c r="C45" s="6" t="str">
        <x:v>Engine</x:v>
      </x:c>
      <x:c r="D45" s="6" t="str">
        <x:v>fuel_grade</x:v>
      </x:c>
      <x:c r="E45" s="6" t="str">
        <x:v>Fuel grade</x:v>
      </x:c>
      <x:c r="F45" s="6" t="str">
        <x:v>grade</x:v>
      </x:c>
      <x:c r="G45" s="6" t="str">
        <x:v>Raw</x:v>
      </x:c>
      <x:c r="H45" s="6" t="str">
        <x:v>Determines allowable boost/detonation</x:v>
      </x:c>
      <x:c r="I45" s="6" t="str">
        <x:v>USAAF flight-test or pilot/engineering manual</x:v>
      </x:c>
      <x:c r="J45" s="6" t="str">
        <x:v>Partial</x:v>
      </x:c>
      <x:c r="K45" s="6" t="str">
        <x:v>44-1 for proposed 75</x:v>
      </x:c>
      <x:c r="L45" s="6" t="str">
        <x:v>P0</x:v>
      </x:c>
      <x:c r="M45" s="6" t="str">
        <x:v>Verify other modes</x:v>
      </x:c>
    </x:row>
    <x:row r="46">
      <x:c r="B46" s="6" t="str">
        <x:v>1 Foundations</x:v>
      </x:c>
      <x:c r="C46" s="6" t="str">
        <x:v>Engine</x:v>
      </x:c>
      <x:c r="D46" s="6" t="str">
        <x:v>rating_approval</x:v>
      </x:c>
      <x:c r="E46" s="6" t="str">
        <x:v>Authorized in period/theatre</x:v>
      </x:c>
      <x:c r="F46" s="6" t="str">
        <x:v>boolean/date</x:v>
      </x:c>
      <x:c r="G46" s="6" t="str">
        <x:v>Raw</x:v>
      </x:c>
      <x:c r="H46" s="6" t="str">
        <x:v>Prevent anachronistic scenarios</x:v>
      </x:c>
      <x:c r="I46" s="6" t="str">
        <x:v>USAAF flight-test or pilot/engineering manual</x:v>
      </x:c>
      <x:c r="J46" s="6" t="str">
        <x:v>Partial</x:v>
      </x:c>
      <x:c r="K46" s="6" t="str">
        <x:v>75 proposed</x:v>
      </x:c>
      <x:c r="L46" s="6" t="str">
        <x:v>P0</x:v>
      </x:c>
      <x:c r="M46" s="6" t="str">
        <x:v>Service authorization outstanding</x:v>
      </x:c>
    </x:row>
    <x:row r="47">
      <x:c r="B47" s="6" t="str">
        <x:v>1 Foundations</x:v>
      </x:c>
      <x:c r="C47" s="6" t="str">
        <x:v>Engine</x:v>
      </x:c>
      <x:c r="D47" s="6" t="str">
        <x:v>time_limit</x:v>
      </x:c>
      <x:c r="E47" s="6" t="str">
        <x:v>Power rating duration</x:v>
      </x:c>
      <x:c r="F47" s="6" t="str">
        <x:v>min</x:v>
      </x:c>
      <x:c r="G47" s="6" t="str">
        <x:v>Raw</x:v>
      </x:c>
      <x:c r="H47" s="6" t="str">
        <x:v>Boost endurance, historically specific</x:v>
      </x:c>
      <x:c r="I47" s="6" t="str">
        <x:v>USAAF flight-test or pilot/engineering manual</x:v>
      </x:c>
      <x:c r="J47" s="6" t="str">
        <x:v>Missing</x:v>
      </x:c>
      <x:c r="K47" s="6" t="str"/>
      <x:c r="L47" s="6" t="str">
        <x:v>P1</x:v>
      </x:c>
      <x:c r="M47" s="6" t="str">
        <x:v>Pilot notes / engine manual</x:v>
      </x:c>
    </x:row>
    <x:row r="48">
      <x:c r="B48" s="6" t="str">
        <x:v>1 Foundations</x:v>
      </x:c>
      <x:c r="C48" s="6" t="str">
        <x:v>Engine</x:v>
      </x:c>
      <x:c r="D48" s="6" t="str">
        <x:v>cooldown</x:v>
      </x:c>
      <x:c r="E48" s="6" t="str">
        <x:v>Cooldown requirement</x:v>
      </x:c>
      <x:c r="F48" s="6" t="str">
        <x:v>min</x:v>
      </x:c>
      <x:c r="G48" s="6" t="str">
        <x:v>Raw</x:v>
      </x:c>
      <x:c r="H48" s="6" t="str">
        <x:v>Repeated boost use constraint</x:v>
      </x:c>
      <x:c r="I48" s="6" t="str">
        <x:v>USAAF flight-test or pilot/engineering manual</x:v>
      </x:c>
      <x:c r="J48" s="6" t="str">
        <x:v>Missing</x:v>
      </x:c>
      <x:c r="K48" s="6" t="str"/>
      <x:c r="L48" s="6" t="str">
        <x:v>P2</x:v>
      </x:c>
      <x:c r="M48" s="6" t="str">
        <x:v>Pilot notes</x:v>
      </x:c>
    </x:row>
    <x:row r="49">
      <x:c r="B49" s="6" t="str">
        <x:v>1 Foundations</x:v>
      </x:c>
      <x:c r="C49" s="6" t="str">
        <x:v>Engine</x:v>
      </x:c>
      <x:c r="D49" s="6" t="str">
        <x:v>engine_temperature</x:v>
      </x:c>
      <x:c r="E49" s="6" t="str">
        <x:v>Oil/coolant limits</x:v>
      </x:c>
      <x:c r="F49" s="6" t="str">
        <x:v>°C</x:v>
      </x:c>
      <x:c r="G49" s="6" t="str">
        <x:v>Raw</x:v>
      </x:c>
      <x:c r="H49" s="6" t="str">
        <x:v>Engine stress limits</x:v>
      </x:c>
      <x:c r="I49" s="6" t="str">
        <x:v>USAAF flight-test or pilot/engineering manual</x:v>
      </x:c>
      <x:c r="J49" s="6" t="str">
        <x:v>Partial</x:v>
      </x:c>
      <x:c r="K49" s="6" t="str">
        <x:v>80 / 110 test targets</x:v>
      </x:c>
      <x:c r="L49" s="6" t="str">
        <x:v>P1</x:v>
      </x:c>
      <x:c r="M49" s="6" t="str">
        <x:v>Operating limits vs test targets</x:v>
      </x:c>
    </x:row>
    <x:row r="50">
      <x:c r="B50" s="6" t="str">
        <x:v>1 Foundations</x:v>
      </x:c>
      <x:c r="C50" s="6" t="str">
        <x:v>Engine</x:v>
      </x:c>
      <x:c r="D50" s="6" t="str">
        <x:v>fuel_flow_map</x:v>
      </x:c>
      <x:c r="E50" s="6" t="str">
        <x:v>Fuel flow versus power/alt</x:v>
      </x:c>
      <x:c r="F50" s="6" t="str">
        <x:v>US gal/h</x:v>
      </x:c>
      <x:c r="G50" s="6" t="str">
        <x:v>Raw</x:v>
      </x:c>
      <x:c r="H50" s="6" t="str">
        <x:v>Endurance and dynamic weight</x:v>
      </x:c>
      <x:c r="I50" s="6" t="str">
        <x:v>Original engine or propeller manufacturer chart</x:v>
      </x:c>
      <x:c r="J50" s="6" t="str">
        <x:v>Missing</x:v>
      </x:c>
      <x:c r="K50" s="6" t="str"/>
      <x:c r="L50" s="6" t="str">
        <x:v>P1</x:v>
      </x:c>
      <x:c r="M50" s="6" t="str">
        <x:v>Fuel flow curves</x:v>
      </x:c>
    </x:row>
    <x:row r="51">
      <x:c r="B51" s="6" t="str">
        <x:v>1 Foundations</x:v>
      </x:c>
      <x:c r="C51" s="6" t="str">
        <x:v>Engine</x:v>
      </x:c>
      <x:c r="D51" s="6" t="str">
        <x:v>supercharger_transition</x:v>
      </x:c>
      <x:c r="E51" s="6" t="str">
        <x:v>Gear transition / schedule</x:v>
      </x:c>
      <x:c r="F51" s="6" t="str">
        <x:v>ft/condition</x:v>
      </x:c>
      <x:c r="G51" s="6" t="str">
        <x:v>Raw</x:v>
      </x:c>
      <x:c r="H51" s="6" t="str">
        <x:v>May be discontinuous</x:v>
      </x:c>
      <x:c r="I51" s="6" t="str">
        <x:v>Original engine or propeller manufacturer chart</x:v>
      </x:c>
      <x:c r="J51" s="6" t="str">
        <x:v>Model assumption</x:v>
      </x:c>
      <x:c r="K51" s="6" t="n">
        <x:v>16000</x:v>
      </x:c>
      <x:c r="L51" s="6" t="str">
        <x:v>P0</x:v>
      </x:c>
      <x:c r="M51" s="6" t="str">
        <x:v>Tested stage transition needed</x:v>
      </x:c>
    </x:row>
    <x:row r="52">
      <x:c r="B52" s="6" t="str">
        <x:v>1 Foundations</x:v>
      </x:c>
      <x:c r="C52" s="6" t="str">
        <x:v>Engine</x:v>
      </x:c>
      <x:c r="D52" s="6" t="str">
        <x:v>install_power_losses</x:v>
      </x:c>
      <x:c r="E52" s="6" t="str">
        <x:v>Installed engine losses</x:v>
      </x:c>
      <x:c r="F52" s="6" t="str">
        <x:v>bhp</x:v>
      </x:c>
      <x:c r="G52" s="6" t="str">
        <x:v>Raw/estimate</x:v>
      </x:c>
      <x:c r="H52" s="6" t="str">
        <x:v>Ram/intercooler/exhaust effects</x:v>
      </x:c>
      <x:c r="I52" s="6" t="str">
        <x:v>Original engine or propeller manufacturer chart</x:v>
      </x:c>
      <x:c r="J52" s="6" t="str">
        <x:v>Missing</x:v>
      </x:c>
      <x:c r="K52" s="6" t="str"/>
      <x:c r="L52" s="6" t="str">
        <x:v>P1</x:v>
      </x:c>
      <x:c r="M52" s="6" t="str">
        <x:v>Do not assume bench=installed</x:v>
      </x:c>
    </x:row>
    <x:row r="53">
      <x:c r="B53" s="6" t="str">
        <x:v>1 Foundations</x:v>
      </x:c>
      <x:c r="C53" s="6" t="str">
        <x:v>Propeller</x:v>
      </x:c>
      <x:c r="D53" s="6" t="str">
        <x:v>prop_diameter</x:v>
      </x:c>
      <x:c r="E53" s="6" t="str">
        <x:v>Propeller diameter</x:v>
      </x:c>
      <x:c r="F53" s="6" t="str">
        <x:v>ft</x:v>
      </x:c>
      <x:c r="G53" s="6" t="str">
        <x:v>Raw</x:v>
      </x:c>
      <x:c r="H53" s="6" t="str">
        <x:v>Advance ratio geometry</x:v>
      </x:c>
      <x:c r="I53" s="6" t="str">
        <x:v>USAAF flight-test or pilot/engineering manual</x:v>
      </x:c>
      <x:c r="J53" s="6" t="str">
        <x:v>Historical</x:v>
      </x:c>
      <x:c r="K53" s="6" t="n">
        <x:v>11.167</x:v>
      </x:c>
      <x:c r="L53" s="6" t="str">
        <x:v>P0</x:v>
      </x:c>
      <x:c r="M53" s="6" t="str"/>
    </x:row>
    <x:row r="54">
      <x:c r="B54" s="6" t="str">
        <x:v>1 Foundations</x:v>
      </x:c>
      <x:c r="C54" s="6" t="str">
        <x:v>Propeller</x:v>
      </x:c>
      <x:c r="D54" s="6" t="str">
        <x:v>blade_count</x:v>
      </x:c>
      <x:c r="E54" s="6" t="str">
        <x:v>Number of blades</x:v>
      </x:c>
      <x:c r="F54" s="6" t="str">
        <x:v>count</x:v>
      </x:c>
      <x:c r="G54" s="6" t="str">
        <x:v>Raw</x:v>
      </x:c>
      <x:c r="H54" s="6" t="str">
        <x:v>Installed prop design</x:v>
      </x:c>
      <x:c r="I54" s="6" t="str">
        <x:v>USAAF flight-test or pilot/engineering manual</x:v>
      </x:c>
      <x:c r="J54" s="6" t="str">
        <x:v>Historical</x:v>
      </x:c>
      <x:c r="K54" s="6" t="n">
        <x:v>4</x:v>
      </x:c>
      <x:c r="L54" s="6" t="str">
        <x:v>P1</x:v>
      </x:c>
      <x:c r="M54" s="6" t="str"/>
    </x:row>
    <x:row r="55">
      <x:c r="B55" s="6" t="str">
        <x:v>1 Foundations</x:v>
      </x:c>
      <x:c r="C55" s="6" t="str">
        <x:v>Propeller</x:v>
      </x:c>
      <x:c r="D55" s="6" t="str">
        <x:v>blade_section</x:v>
      </x:c>
      <x:c r="E55" s="6" t="str">
        <x:v>Prop blade section/pitch</x:v>
      </x:c>
      <x:c r="F55" s="6" t="str">
        <x:v>mixed</x:v>
      </x:c>
      <x:c r="G55" s="6" t="str">
        <x:v>Raw</x:v>
      </x:c>
      <x:c r="H55" s="6" t="str">
        <x:v>Ct/Cp, tip Mach and efficiency</x:v>
      </x:c>
      <x:c r="I55" s="6" t="str">
        <x:v>Original engine or propeller manufacturer chart</x:v>
      </x:c>
      <x:c r="J55" s="6" t="str">
        <x:v>Partial</x:v>
      </x:c>
      <x:c r="K55" s="6" t="str">
        <x:v>K-6523A-24</x:v>
      </x:c>
      <x:c r="L55" s="6" t="str">
        <x:v>P1</x:v>
      </x:c>
      <x:c r="M55" s="6" t="str">
        <x:v>Full blade data missing</x:v>
      </x:c>
    </x:row>
    <x:row r="56">
      <x:c r="B56" s="6" t="str">
        <x:v>1 Foundations</x:v>
      </x:c>
      <x:c r="C56" s="6" t="str">
        <x:v>Propeller</x:v>
      </x:c>
      <x:c r="D56" s="6" t="str">
        <x:v>gear_ratio</x:v>
      </x:c>
      <x:c r="E56" s="6" t="str">
        <x:v>Prop reduction gearing</x:v>
      </x:c>
      <x:c r="F56" s="6" t="str">
        <x:v>ratio</x:v>
      </x:c>
      <x:c r="G56" s="6" t="str">
        <x:v>Raw</x:v>
      </x:c>
      <x:c r="H56" s="6" t="str">
        <x:v>Engine RPM to prop RPM</x:v>
      </x:c>
      <x:c r="I56" s="6" t="str">
        <x:v>Original engine or propeller manufacturer chart</x:v>
      </x:c>
      <x:c r="J56" s="6" t="str">
        <x:v>Missing</x:v>
      </x:c>
      <x:c r="K56" s="6" t="str"/>
      <x:c r="L56" s="6" t="str">
        <x:v>P0</x:v>
      </x:c>
      <x:c r="M56" s="6" t="str">
        <x:v>Packard / prop manual</x:v>
      </x:c>
    </x:row>
    <x:row r="57">
      <x:c r="B57" s="6" t="str">
        <x:v>1 Foundations</x:v>
      </x:c>
      <x:c r="C57" s="6" t="str">
        <x:v>Propeller</x:v>
      </x:c>
      <x:c r="D57" s="6" t="str">
        <x:v>prop_rpm</x:v>
      </x:c>
      <x:c r="E57" s="6" t="str">
        <x:v>Propeller RPM</x:v>
      </x:c>
      <x:c r="F57" s="6" t="str">
        <x:v>rpm</x:v>
      </x:c>
      <x:c r="G57" s="6" t="str">
        <x:v>Derived</x:v>
      </x:c>
      <x:c r="H57" s="6" t="str">
        <x:v>Engine RPM divided by reduction ratio</x:v>
      </x:c>
      <x:c r="I57" s="6" t="str">
        <x:v>Physical model, calibrated to original flight observations</x:v>
      </x:c>
      <x:c r="J57" s="6" t="str">
        <x:v>Missing</x:v>
      </x:c>
      <x:c r="K57" s="6" t="str"/>
      <x:c r="L57" s="6" t="str">
        <x:v>P0</x:v>
      </x:c>
      <x:c r="M57" s="6" t="str">
        <x:v>Missing gear ratio</x:v>
      </x:c>
    </x:row>
    <x:row r="58">
      <x:c r="B58" s="6" t="str">
        <x:v>1 Foundations</x:v>
      </x:c>
      <x:c r="C58" s="6" t="str">
        <x:v>Propeller</x:v>
      </x:c>
      <x:c r="D58" s="6" t="str">
        <x:v>advance_ratio</x:v>
      </x:c>
      <x:c r="E58" s="6" t="str">
        <x:v>Propeller advance ratio J</x:v>
      </x:c>
      <x:c r="F58" s="6" t="str">
        <x:v>ratio</x:v>
      </x:c>
      <x:c r="G58" s="6" t="str">
        <x:v>Derived</x:v>
      </x:c>
      <x:c r="H58" s="6" t="str">
        <x:v>TAS/(prop rev/s × diameter)</x:v>
      </x:c>
      <x:c r="I58" s="6" t="str">
        <x:v>Physical model, calibrated to original flight observations</x:v>
      </x:c>
      <x:c r="J58" s="6" t="str">
        <x:v>Missing</x:v>
      </x:c>
      <x:c r="K58" s="6" t="str"/>
      <x:c r="L58" s="6" t="str">
        <x:v>P1</x:v>
      </x:c>
      <x:c r="M58" s="6" t="str">
        <x:v>Needs prop RPM</x:v>
      </x:c>
    </x:row>
    <x:row r="59">
      <x:c r="B59" s="6" t="str">
        <x:v>1 Foundations</x:v>
      </x:c>
      <x:c r="C59" s="6" t="str">
        <x:v>Propeller</x:v>
      </x:c>
      <x:c r="D59" s="6" t="str">
        <x:v>ct_cp_map</x:v>
      </x:c>
      <x:c r="E59" s="6" t="str">
        <x:v>Thrust/power coefficients</x:v>
      </x:c>
      <x:c r="F59" s="6" t="str">
        <x:v>ratio</x:v>
      </x:c>
      <x:c r="G59" s="6" t="str">
        <x:v>Raw</x:v>
      </x:c>
      <x:c r="H59" s="6" t="str">
        <x:v>Manufacturer map by J,pitch,Mach</x:v>
      </x:c>
      <x:c r="I59" s="6" t="str">
        <x:v>Original engine or propeller manufacturer chart</x:v>
      </x:c>
      <x:c r="J59" s="6" t="str">
        <x:v>Missing</x:v>
      </x:c>
      <x:c r="K59" s="6" t="str"/>
      <x:c r="L59" s="6" t="str">
        <x:v>P1</x:v>
      </x:c>
      <x:c r="M59" s="6" t="str">
        <x:v>High priority research</x:v>
      </x:c>
    </x:row>
    <x:row r="60">
      <x:c r="B60" s="6" t="str">
        <x:v>1 Foundations</x:v>
      </x:c>
      <x:c r="C60" s="6" t="str">
        <x:v>Propeller</x:v>
      </x:c>
      <x:c r="D60" s="6" t="str">
        <x:v>eta_map</x:v>
      </x:c>
      <x:c r="E60" s="6" t="str">
        <x:v>Prop efficiency map</x:v>
      </x:c>
      <x:c r="F60" s="6" t="str">
        <x:v>ratio</x:v>
      </x:c>
      <x:c r="G60" s="6" t="str">
        <x:v>Raw/estimate</x:v>
      </x:c>
      <x:c r="H60" s="6" t="str">
        <x:v>Aircraft prop efficiency, not generic number</x:v>
      </x:c>
      <x:c r="I60" s="6" t="str">
        <x:v>Original engine or propeller manufacturer chart</x:v>
      </x:c>
      <x:c r="J60" s="6" t="str">
        <x:v>Model assumption</x:v>
      </x:c>
      <x:c r="K60" s="6" t="n">
        <x:v>0.8</x:v>
      </x:c>
      <x:c r="L60" s="6" t="str">
        <x:v>P0</x:v>
      </x:c>
      <x:c r="M60" s="6" t="str">
        <x:v>80% is only a provisional constant</x:v>
      </x:c>
    </x:row>
    <x:row r="61">
      <x:c r="B61" s="6" t="str">
        <x:v>1 Foundations</x:v>
      </x:c>
      <x:c r="C61" s="6" t="str">
        <x:v>Propeller</x:v>
      </x:c>
      <x:c r="D61" s="6" t="str">
        <x:v>prop_tip_mach</x:v>
      </x:c>
      <x:c r="E61" s="6" t="str">
        <x:v>Prop tip Mach</x:v>
      </x:c>
      <x:c r="F61" s="6" t="str">
        <x:v>Mach</x:v>
      </x:c>
      <x:c r="G61" s="6" t="str">
        <x:v>Derived</x:v>
      </x:c>
      <x:c r="H61" s="6" t="str">
        <x:v>Rotational + forward speed</x:v>
      </x:c>
      <x:c r="I61" s="6" t="str">
        <x:v>Physical model, calibrated to original flight observations</x:v>
      </x:c>
      <x:c r="J61" s="6" t="str">
        <x:v>Missing</x:v>
      </x:c>
      <x:c r="K61" s="6" t="str"/>
      <x:c r="L61" s="6" t="str">
        <x:v>P1</x:v>
      </x:c>
      <x:c r="M61" s="6" t="str">
        <x:v>Need prop RPM</x:v>
      </x:c>
    </x:row>
    <x:row r="62">
      <x:c r="B62" s="6" t="str">
        <x:v>1 Foundations</x:v>
      </x:c>
      <x:c r="C62" s="6" t="str">
        <x:v>Historical</x:v>
      </x:c>
      <x:c r="D62" s="6" t="str">
        <x:v>speed_altitude</x:v>
      </x:c>
      <x:c r="E62" s="6" t="str">
        <x:v>Measured Vmax vs altitude</x:v>
      </x:c>
      <x:c r="F62" s="6" t="str">
        <x:v>mph TAS</x:v>
      </x:c>
      <x:c r="G62" s="6" t="str">
        <x:v>Raw/A</x:v>
      </x:c>
      <x:c r="H62" s="6" t="str">
        <x:v>Flight tests per rating/gear</x:v>
      </x:c>
      <x:c r="I62" s="6" t="str">
        <x:v>USAAF flight-test or pilot/engineering manual</x:v>
      </x:c>
      <x:c r="J62" s="6" t="str">
        <x:v>Historical</x:v>
      </x:c>
      <x:c r="K62" s="6" t="str">
        <x:v>417 @ 20,800 ft</x:v>
      </x:c>
      <x:c r="L62" s="6" t="str">
        <x:v>P0</x:v>
      </x:c>
      <x:c r="M62" s="6" t="str"/>
    </x:row>
    <x:row r="63">
      <x:c r="B63" s="6" t="str">
        <x:v>1 Foundations</x:v>
      </x:c>
      <x:c r="C63" s="6" t="str">
        <x:v>Historical</x:v>
      </x:c>
      <x:c r="D63" s="6" t="str">
        <x:v>climb_altitude</x:v>
      </x:c>
      <x:c r="E63" s="6" t="str">
        <x:v>Measured max ROC vs altitude</x:v>
      </x:c>
      <x:c r="F63" s="6" t="str">
        <x:v>ft/min</x:v>
      </x:c>
      <x:c r="G63" s="6" t="str">
        <x:v>Raw/A</x:v>
      </x:c>
      <x:c r="H63" s="6" t="str">
        <x:v>Climb curve and time-to-height</x:v>
      </x:c>
      <x:c r="I63" s="6" t="str">
        <x:v>USAAF flight-test or pilot/engineering manual</x:v>
      </x:c>
      <x:c r="J63" s="6" t="str">
        <x:v>Partial</x:v>
      </x:c>
      <x:c r="K63" s="6" t="str">
        <x:v>3820 @ 2200 ft</x:v>
      </x:c>
      <x:c r="L63" s="6" t="str">
        <x:v>P0</x:v>
      </x:c>
      <x:c r="M63" s="6" t="str">
        <x:v>Digitize full curves</x:v>
      </x:c>
    </x:row>
    <x:row r="64">
      <x:c r="B64" s="6" t="str">
        <x:v>1 Foundations</x:v>
      </x:c>
      <x:c r="C64" s="6" t="str">
        <x:v>Historical</x:v>
      </x:c>
      <x:c r="D64" s="6" t="str">
        <x:v>climb_speed</x:v>
      </x:c>
      <x:c r="E64" s="6" t="str">
        <x:v>Measured best climb IAS/TAS</x:v>
      </x:c>
      <x:c r="F64" s="6" t="str">
        <x:v>mph</x:v>
      </x:c>
      <x:c r="G64" s="6" t="str">
        <x:v>Raw/A</x:v>
      </x:c>
      <x:c r="H64" s="6" t="str">
        <x:v>Needed to validate calculated Vy</x:v>
      </x:c>
      <x:c r="I64" s="6" t="str">
        <x:v>USAAF flight-test or pilot/engineering manual</x:v>
      </x:c>
      <x:c r="J64" s="6" t="str">
        <x:v>Missing</x:v>
      </x:c>
      <x:c r="K64" s="6" t="str"/>
      <x:c r="L64" s="6" t="str">
        <x:v>P0</x:v>
      </x:c>
      <x:c r="M64" s="6" t="str">
        <x:v>Digitize climb curves</x:v>
      </x:c>
    </x:row>
    <x:row r="65">
      <x:c r="B65" s="6" t="str">
        <x:v>1 Foundations</x:v>
      </x:c>
      <x:c r="C65" s="6" t="str">
        <x:v>Historical</x:v>
      </x:c>
      <x:c r="D65" s="6" t="str">
        <x:v>time_to_height</x:v>
      </x:c>
      <x:c r="E65" s="6" t="str">
        <x:v>Measured time to climb</x:v>
      </x:c>
      <x:c r="F65" s="6" t="str">
        <x:v>min</x:v>
      </x:c>
      <x:c r="G65" s="6" t="str">
        <x:v>Raw/A</x:v>
      </x:c>
      <x:c r="H65" s="6" t="str">
        <x:v>Independent integration validation</x:v>
      </x:c>
      <x:c r="I65" s="6" t="str">
        <x:v>USAAF flight-test or pilot/engineering manual</x:v>
      </x:c>
      <x:c r="J65" s="6" t="str">
        <x:v>Partial</x:v>
      </x:c>
      <x:c r="K65" s="6" t="str">
        <x:v>Source curve</x:v>
      </x:c>
      <x:c r="L65" s="6" t="str">
        <x:v>P1</x:v>
      </x:c>
      <x:c r="M65" s="6" t="str">
        <x:v>Digitize</x:v>
      </x:c>
    </x:row>
    <x:row r="66">
      <x:c r="B66" s="6" t="str">
        <x:v>1 Foundations</x:v>
      </x:c>
      <x:c r="C66" s="6" t="str">
        <x:v>Historical</x:v>
      </x:c>
      <x:c r="D66" s="6" t="str">
        <x:v>power_required_curve</x:v>
      </x:c>
      <x:c r="E66" s="6" t="str">
        <x:v>Power required versus speed</x:v>
      </x:c>
      <x:c r="F66" s="6" t="str">
        <x:v>BHP versus mph</x:v>
      </x:c>
      <x:c r="G66" s="6" t="str">
        <x:v>Raw/A</x:v>
      </x:c>
      <x:c r="H66" s="6" t="str">
        <x:v>22,400-ft chart, actual speed sweep evidence</x:v>
      </x:c>
      <x:c r="I66" s="6" t="str">
        <x:v>USAAF flight-test or pilot/engineering manual</x:v>
      </x:c>
      <x:c r="J66" s="6" t="str">
        <x:v>Partial</x:v>
      </x:c>
      <x:c r="K66" s="6" t="str">
        <x:v>Original image</x:v>
      </x:c>
      <x:c r="L66" s="6" t="str">
        <x:v>P0</x:v>
      </x:c>
      <x:c r="M66" s="6" t="str">
        <x:v>Digitize points accurately</x:v>
      </x:c>
    </x:row>
    <x:row r="67">
      <x:c r="B67" s="6" t="str">
        <x:v>1 Foundations</x:v>
      </x:c>
      <x:c r="C67" s="6" t="str">
        <x:v>Historical</x:v>
      </x:c>
      <x:c r="D67" s="6" t="str">
        <x:v>stall_ias</x:v>
      </x:c>
      <x:c r="E67" s="6" t="str">
        <x:v>Stall indicated speed</x:v>
      </x:c>
      <x:c r="F67" s="6" t="str">
        <x:v>mph IAS</x:v>
      </x:c>
      <x:c r="G67" s="6" t="str">
        <x:v>Raw/A</x:v>
      </x:c>
      <x:c r="H67" s="6" t="str">
        <x:v>Requires IAS calibration for CLmax</x:v>
      </x:c>
      <x:c r="I67" s="6" t="str">
        <x:v>USAAF flight-test or pilot/engineering manual</x:v>
      </x:c>
      <x:c r="J67" s="6" t="str">
        <x:v>Historical</x:v>
      </x:c>
      <x:c r="K67" s="6" t="n">
        <x:v>86</x:v>
      </x:c>
      <x:c r="L67" s="6" t="str">
        <x:v>P0</x:v>
      </x:c>
      <x:c r="M67" s="6" t="str">
        <x:v>8,000 ft, 9,270 lb, clean power-off</x:v>
      </x:c>
    </x:row>
    <x:row r="68">
      <x:c r="B68" s="6" t="str">
        <x:v>1 Foundations</x:v>
      </x:c>
      <x:c r="C68" s="6" t="str">
        <x:v>Historical</x:v>
      </x:c>
      <x:c r="D68" s="6" t="str">
        <x:v>ias_calibration</x:v>
      </x:c>
      <x:c r="E68" s="6" t="str">
        <x:v>IAS to CAS/EAS calibration</x:v>
      </x:c>
      <x:c r="F68" s="6" t="str">
        <x:v>mph</x:v>
      </x:c>
      <x:c r="G68" s="6" t="str">
        <x:v>Raw/A</x:v>
      </x:c>
      <x:c r="H68" s="6" t="str">
        <x:v>Do not convert IAS as though it were EAS</x:v>
      </x:c>
      <x:c r="I68" s="6" t="str">
        <x:v>USAAF flight-test or pilot/engineering manual</x:v>
      </x:c>
      <x:c r="J68" s="6" t="str">
        <x:v>Partial</x:v>
      </x:c>
      <x:c r="K68" s="6" t="str">
        <x:v>Fig.1</x:v>
      </x:c>
      <x:c r="L68" s="6" t="str">
        <x:v>P0</x:v>
      </x:c>
      <x:c r="M68" s="6" t="str">
        <x:v>Digitize figure</x:v>
      </x:c>
    </x:row>
    <x:row r="69">
      <x:c r="B69" s="6" t="str">
        <x:v>1 Foundations</x:v>
      </x:c>
      <x:c r="C69" s="6" t="str">
        <x:v>Historical</x:v>
      </x:c>
      <x:c r="D69" s="6" t="str">
        <x:v>roll_curve</x:v>
      </x:c>
      <x:c r="E69" s="6" t="str">
        <x:v>Measured roll rate by IAS</x:v>
      </x:c>
      <x:c r="F69" s="6" t="str">
        <x:v>deg/s</x:v>
      </x:c>
      <x:c r="G69" s="6" t="str">
        <x:v>Raw/A</x:v>
      </x:c>
      <x:c r="H69" s="6" t="str">
        <x:v>Energy maneuver/control envelope</x:v>
      </x:c>
      <x:c r="I69" s="6" t="str">
        <x:v>USAAF flight-test or pilot/engineering manual</x:v>
      </x:c>
      <x:c r="J69" s="6" t="str">
        <x:v>Missing</x:v>
      </x:c>
      <x:c r="K69" s="6" t="str"/>
      <x:c r="L69" s="6" t="str">
        <x:v>P1</x:v>
      </x:c>
      <x:c r="M69" s="6" t="str">
        <x:v>Obtain NACA control trials</x:v>
      </x:c>
    </x:row>
    <x:row r="70">
      <x:c r="B70" s="6" t="str">
        <x:v>1 Foundations</x:v>
      </x:c>
      <x:c r="C70" s="6" t="str">
        <x:v>Historical</x:v>
      </x:c>
      <x:c r="D70" s="6" t="str">
        <x:v>turn_tests</x:v>
      </x:c>
      <x:c r="E70" s="6" t="str">
        <x:v>Turn performance tests</x:v>
      </x:c>
      <x:c r="F70" s="6" t="str">
        <x:v>deg/s or radius</x:v>
      </x:c>
      <x:c r="G70" s="6" t="str">
        <x:v>Raw/A</x:v>
      </x:c>
      <x:c r="H70" s="6" t="str">
        <x:v>Independent maneuver validation</x:v>
      </x:c>
      <x:c r="I70" s="6" t="str">
        <x:v>USAAF flight-test or pilot/engineering manual</x:v>
      </x:c>
      <x:c r="J70" s="6" t="str">
        <x:v>Partial</x:v>
      </x:c>
      <x:c r="K70" s="6" t="str">
        <x:v>Qualitative only</x:v>
      </x:c>
      <x:c r="L70" s="6" t="str">
        <x:v>P1</x:v>
      </x:c>
      <x:c r="M70" s="6" t="str">
        <x:v>Find quantified trials</x:v>
      </x:c>
    </x:row>
    <x:row r="71">
      <x:c r="B71" s="6" t="str">
        <x:v>1 Foundations</x:v>
      </x:c>
      <x:c r="C71" s="6" t="str">
        <x:v>Historical</x:v>
      </x:c>
      <x:c r="D71" s="6" t="str">
        <x:v>dive_mach_limit</x:v>
      </x:c>
      <x:c r="E71" s="6" t="str">
        <x:v>Dive/compressibility limits</x:v>
      </x:c>
      <x:c r="F71" s="6" t="str">
        <x:v>Mach / IAS</x:v>
      </x:c>
      <x:c r="G71" s="6" t="str">
        <x:v>Raw/A</x:v>
      </x:c>
      <x:c r="H71" s="6" t="str">
        <x:v>High-speed boundary</x:v>
      </x:c>
      <x:c r="I71" s="6" t="str">
        <x:v>NACA or original wind-tunnel / flight investigation</x:v>
      </x:c>
      <x:c r="J71" s="6" t="str">
        <x:v>Partial</x:v>
      </x:c>
      <x:c r="K71" s="6" t="str">
        <x:v>Narrative diving observations</x:v>
      </x:c>
      <x:c r="L71" s="6" t="str">
        <x:v>P1</x:v>
      </x:c>
      <x:c r="M71" s="6" t="str">
        <x:v>Quantify</x:v>
      </x:c>
    </x:row>
    <x:row r="72">
      <x:c r="B72" s="6" t="str">
        <x:v>2 Aerodynamics</x:v>
      </x:c>
      <x:c r="C72" s="6" t="str">
        <x:v>Atmosphere</x:v>
      </x:c>
      <x:c r="D72" s="6" t="str">
        <x:v>altitude</x:v>
      </x:c>
      <x:c r="E72" s="6" t="str">
        <x:v>Flight altitude</x:v>
      </x:c>
      <x:c r="F72" s="6" t="str">
        <x:v>ft</x:v>
      </x:c>
      <x:c r="G72" s="6" t="str">
        <x:v>Input</x:v>
      </x:c>
      <x:c r="H72" s="6" t="str">
        <x:v>ISA or atmospheric scenario</x:v>
      </x:c>
      <x:c r="I72" s="6" t="str">
        <x:v>Physical model, calibrated to original flight observations</x:v>
      </x:c>
      <x:c r="J72" s="6" t="str">
        <x:v>Scenario</x:v>
      </x:c>
      <x:c r="K72" s="6" t="n">
        <x:v>22400</x:v>
      </x:c>
      <x:c r="L72" s="6" t="str">
        <x:v>P0</x:v>
      </x:c>
      <x:c r="M72" s="6" t="str"/>
    </x:row>
    <x:row r="73">
      <x:c r="B73" s="6" t="str">
        <x:v>2 Aerodynamics</x:v>
      </x:c>
      <x:c r="C73" s="6" t="str">
        <x:v>Atmosphere</x:v>
      </x:c>
      <x:c r="D73" s="6" t="str">
        <x:v>temperature</x:v>
      </x:c>
      <x:c r="E73" s="6" t="str">
        <x:v>Air temperature</x:v>
      </x:c>
      <x:c r="F73" s="6" t="str">
        <x:v>K</x:v>
      </x:c>
      <x:c r="G73" s="6" t="str">
        <x:v>Derived</x:v>
      </x:c>
      <x:c r="H73" s="6" t="str">
        <x:v>ISA lapse rate or weather data</x:v>
      </x:c>
      <x:c r="I73" s="6" t="str">
        <x:v>Physical model, calibrated to original flight observations</x:v>
      </x:c>
      <x:c r="J73" s="6" t="str">
        <x:v>Derived</x:v>
      </x:c>
      <x:c r="K73" s="6" t="str"/>
      <x:c r="L73" s="6" t="str">
        <x:v>P0</x:v>
      </x:c>
      <x:c r="M73" s="6" t="str"/>
    </x:row>
    <x:row r="74">
      <x:c r="B74" s="6" t="str">
        <x:v>2 Aerodynamics</x:v>
      </x:c>
      <x:c r="C74" s="6" t="str">
        <x:v>Atmosphere</x:v>
      </x:c>
      <x:c r="D74" s="6" t="str">
        <x:v>pressure</x:v>
      </x:c>
      <x:c r="E74" s="6" t="str">
        <x:v>Static atmospheric pressure</x:v>
      </x:c>
      <x:c r="F74" s="6" t="str">
        <x:v>Pa</x:v>
      </x:c>
      <x:c r="G74" s="6" t="str">
        <x:v>Derived</x:v>
      </x:c>
      <x:c r="H74" s="6" t="str">
        <x:v>ISA pressure(h)</x:v>
      </x:c>
      <x:c r="I74" s="6" t="str">
        <x:v>Physical model, calibrated to original flight observations</x:v>
      </x:c>
      <x:c r="J74" s="6" t="str">
        <x:v>Derived</x:v>
      </x:c>
      <x:c r="K74" s="6" t="str"/>
      <x:c r="L74" s="6" t="str">
        <x:v>P0</x:v>
      </x:c>
      <x:c r="M74" s="6" t="str"/>
    </x:row>
    <x:row r="75">
      <x:c r="B75" s="6" t="str">
        <x:v>2 Aerodynamics</x:v>
      </x:c>
      <x:c r="C75" s="6" t="str">
        <x:v>Atmosphere</x:v>
      </x:c>
      <x:c r="D75" s="6" t="str">
        <x:v>rho</x:v>
      </x:c>
      <x:c r="E75" s="6" t="str">
        <x:v>Air density</x:v>
      </x:c>
      <x:c r="F75" s="6" t="str">
        <x:v>kg/m³</x:v>
      </x:c>
      <x:c r="G75" s="6" t="str">
        <x:v>Derived</x:v>
      </x:c>
      <x:c r="H75" s="6" t="str">
        <x:v>Pressure divided by R×temperature</x:v>
      </x:c>
      <x:c r="I75" s="6" t="str">
        <x:v>Physical model, calibrated to original flight observations</x:v>
      </x:c>
      <x:c r="J75" s="6" t="str">
        <x:v>Derived</x:v>
      </x:c>
      <x:c r="K75" s="6" t="str"/>
      <x:c r="L75" s="6" t="str">
        <x:v>P0</x:v>
      </x:c>
      <x:c r="M75" s="6" t="str"/>
    </x:row>
    <x:row r="76">
      <x:c r="B76" s="6" t="str">
        <x:v>2 Aerodynamics</x:v>
      </x:c>
      <x:c r="C76" s="6" t="str">
        <x:v>Atmosphere</x:v>
      </x:c>
      <x:c r="D76" s="6" t="str">
        <x:v>sound_speed</x:v>
      </x:c>
      <x:c r="E76" s="6" t="str">
        <x:v>Speed of sound</x:v>
      </x:c>
      <x:c r="F76" s="6" t="str">
        <x:v>m/s</x:v>
      </x:c>
      <x:c r="G76" s="6" t="str">
        <x:v>Derived</x:v>
      </x:c>
      <x:c r="H76" s="6" t="str">
        <x:v>sqrt(gamma R T)</x:v>
      </x:c>
      <x:c r="I76" s="6" t="str">
        <x:v>Physical model, calibrated to original flight observations</x:v>
      </x:c>
      <x:c r="J76" s="6" t="str">
        <x:v>Derived</x:v>
      </x:c>
      <x:c r="K76" s="6" t="str"/>
      <x:c r="L76" s="6" t="str">
        <x:v>P0</x:v>
      </x:c>
      <x:c r="M76" s="6" t="str"/>
    </x:row>
    <x:row r="77">
      <x:c r="B77" s="6" t="str">
        <x:v>2 Aerodynamics</x:v>
      </x:c>
      <x:c r="C77" s="6" t="str">
        <x:v>Atmosphere</x:v>
      </x:c>
      <x:c r="D77" s="6" t="str">
        <x:v>tas</x:v>
      </x:c>
      <x:c r="E77" s="6" t="str">
        <x:v>True airspeed</x:v>
      </x:c>
      <x:c r="F77" s="6" t="str">
        <x:v>mph</x:v>
      </x:c>
      <x:c r="G77" s="6" t="str">
        <x:v>Input</x:v>
      </x:c>
      <x:c r="H77" s="6" t="str">
        <x:v>Speed through airmass</x:v>
      </x:c>
      <x:c r="I77" s="6" t="str">
        <x:v>Physical model, calibrated to original flight observations</x:v>
      </x:c>
      <x:c r="J77" s="6" t="str">
        <x:v>Scenario</x:v>
      </x:c>
      <x:c r="K77" s="6" t="n">
        <x:v>300</x:v>
      </x:c>
      <x:c r="L77" s="6" t="str">
        <x:v>P0</x:v>
      </x:c>
      <x:c r="M77" s="6" t="str"/>
    </x:row>
    <x:row r="78">
      <x:c r="B78" s="6" t="str">
        <x:v>2 Aerodynamics</x:v>
      </x:c>
      <x:c r="C78" s="6" t="str">
        <x:v>Atmosphere</x:v>
      </x:c>
      <x:c r="D78" s="6" t="str">
        <x:v>eas</x:v>
      </x:c>
      <x:c r="E78" s="6" t="str">
        <x:v>Equivalent airspeed</x:v>
      </x:c>
      <x:c r="F78" s="6" t="str">
        <x:v>mph</x:v>
      </x:c>
      <x:c r="G78" s="6" t="str">
        <x:v>Derived</x:v>
      </x:c>
      <x:c r="H78" s="6" t="str">
        <x:v>TAS sqrt(rho/rho0)</x:v>
      </x:c>
      <x:c r="I78" s="6" t="str">
        <x:v>Physical model, calibrated to original flight observations</x:v>
      </x:c>
      <x:c r="J78" s="6" t="str">
        <x:v>Derived</x:v>
      </x:c>
      <x:c r="K78" s="6" t="str"/>
      <x:c r="L78" s="6" t="str">
        <x:v>P0</x:v>
      </x:c>
      <x:c r="M78" s="6" t="str"/>
    </x:row>
    <x:row r="79">
      <x:c r="B79" s="6" t="str">
        <x:v>2 Aerodynamics</x:v>
      </x:c>
      <x:c r="C79" s="6" t="str">
        <x:v>Atmosphere</x:v>
      </x:c>
      <x:c r="D79" s="6" t="str">
        <x:v>ias</x:v>
      </x:c>
      <x:c r="E79" s="6" t="str">
        <x:v>Indicated airspeed</x:v>
      </x:c>
      <x:c r="F79" s="6" t="str">
        <x:v>mph</x:v>
      </x:c>
      <x:c r="G79" s="6" t="str">
        <x:v>Derived with calibration</x:v>
      </x:c>
      <x:c r="H79" s="6" t="str">
        <x:v>Requires aircraft pitot/static correction</x:v>
      </x:c>
      <x:c r="I79" s="6" t="str">
        <x:v>USAAF flight-test or pilot/engineering manual</x:v>
      </x:c>
      <x:c r="J79" s="6" t="str">
        <x:v>Missing</x:v>
      </x:c>
      <x:c r="K79" s="6" t="str"/>
      <x:c r="L79" s="6" t="str">
        <x:v>P0</x:v>
      </x:c>
      <x:c r="M79" s="6" t="str">
        <x:v>Do not equate IAS and EAS</x:v>
      </x:c>
    </x:row>
    <x:row r="80">
      <x:c r="B80" s="6" t="str">
        <x:v>2 Aerodynamics</x:v>
      </x:c>
      <x:c r="C80" s="6" t="str">
        <x:v>Atmosphere</x:v>
      </x:c>
      <x:c r="D80" s="6" t="str">
        <x:v>mach</x:v>
      </x:c>
      <x:c r="E80" s="6" t="str">
        <x:v>Mach number</x:v>
      </x:c>
      <x:c r="F80" s="6" t="str">
        <x:v>ratio</x:v>
      </x:c>
      <x:c r="G80" s="6" t="str">
        <x:v>Derived</x:v>
      </x:c>
      <x:c r="H80" s="6" t="str">
        <x:v>TAS / local sound speed</x:v>
      </x:c>
      <x:c r="I80" s="6" t="str">
        <x:v>Physical model, calibrated to original flight observations</x:v>
      </x:c>
      <x:c r="J80" s="6" t="str">
        <x:v>Derived</x:v>
      </x:c>
      <x:c r="K80" s="6" t="str"/>
      <x:c r="L80" s="6" t="str">
        <x:v>P0</x:v>
      </x:c>
      <x:c r="M80" s="6" t="str"/>
    </x:row>
    <x:row r="81">
      <x:c r="B81" s="6" t="str">
        <x:v>2 Aerodynamics</x:v>
      </x:c>
      <x:c r="C81" s="6" t="str">
        <x:v>Atmosphere</x:v>
      </x:c>
      <x:c r="D81" s="6" t="str">
        <x:v>reynolds</x:v>
      </x:c>
      <x:c r="E81" s="6" t="str">
        <x:v>Reynolds number</x:v>
      </x:c>
      <x:c r="F81" s="6" t="str">
        <x:v>ratio</x:v>
      </x:c>
      <x:c r="G81" s="6" t="str">
        <x:v>Derived</x:v>
      </x:c>
      <x:c r="H81" s="6" t="str">
        <x:v>rho V chord / viscosity</x:v>
      </x:c>
      <x:c r="I81" s="6" t="str">
        <x:v>NACA or original wind-tunnel / flight investigation</x:v>
      </x:c>
      <x:c r="J81" s="6" t="str">
        <x:v>Missing</x:v>
      </x:c>
      <x:c r="K81" s="6" t="str"/>
      <x:c r="L81" s="6" t="str">
        <x:v>P1</x:v>
      </x:c>
      <x:c r="M81" s="6" t="str">
        <x:v>Needs chord and viscosity model</x:v>
      </x:c>
    </x:row>
    <x:row r="82">
      <x:c r="B82" s="6" t="str">
        <x:v>2 Aerodynamics</x:v>
      </x:c>
      <x:c r="C82" s="6" t="str">
        <x:v>Aero</x:v>
      </x:c>
      <x:c r="D82" s="6" t="str">
        <x:v>dynamic_pressure</x:v>
      </x:c>
      <x:c r="E82" s="6" t="str">
        <x:v>Dynamic pressure q</x:v>
      </x:c>
      <x:c r="F82" s="6" t="str">
        <x:v>Pa</x:v>
      </x:c>
      <x:c r="G82" s="6" t="str">
        <x:v>Derived</x:v>
      </x:c>
      <x:c r="H82" s="6" t="str">
        <x:v>0.5 rho TAS²</x:v>
      </x:c>
      <x:c r="I82" s="6" t="str">
        <x:v>Physical model, calibrated to original flight observations</x:v>
      </x:c>
      <x:c r="J82" s="6" t="str">
        <x:v>Derived</x:v>
      </x:c>
      <x:c r="K82" s="6" t="str"/>
      <x:c r="L82" s="6" t="str">
        <x:v>P0</x:v>
      </x:c>
      <x:c r="M82" s="6" t="str"/>
    </x:row>
    <x:row r="83">
      <x:c r="B83" s="6" t="str">
        <x:v>2 Aerodynamics</x:v>
      </x:c>
      <x:c r="C83" s="6" t="str">
        <x:v>Aero</x:v>
      </x:c>
      <x:c r="D83" s="6" t="str">
        <x:v>cl</x:v>
      </x:c>
      <x:c r="E83" s="6" t="str">
        <x:v>Lift coefficient</x:v>
      </x:c>
      <x:c r="F83" s="6" t="str">
        <x:v>ratio</x:v>
      </x:c>
      <x:c r="G83" s="6" t="str">
        <x:v>Derived</x:v>
      </x:c>
      <x:c r="H83" s="6" t="str">
        <x:v>n W / (q S)</x:v>
      </x:c>
      <x:c r="I83" s="6" t="str">
        <x:v>Physical model, calibrated to original flight observations</x:v>
      </x:c>
      <x:c r="J83" s="6" t="str">
        <x:v>Derived</x:v>
      </x:c>
      <x:c r="K83" s="6" t="str"/>
      <x:c r="L83" s="6" t="str">
        <x:v>P0</x:v>
      </x:c>
      <x:c r="M83" s="6" t="str"/>
    </x:row>
    <x:row r="84">
      <x:c r="B84" s="6" t="str">
        <x:v>2 Aerodynamics</x:v>
      </x:c>
      <x:c r="C84" s="6" t="str">
        <x:v>Aero</x:v>
      </x:c>
      <x:c r="D84" s="6" t="str">
        <x:v>cd0</x:v>
      </x:c>
      <x:c r="E84" s="6" t="str">
        <x:v>Whole-aircraft zero-lift drag coefficient</x:v>
      </x:c>
      <x:c r="F84" s="6" t="str">
        <x:v>ratio</x:v>
      </x:c>
      <x:c r="G84" s="6" t="str">
        <x:v>Raw/fit</x:v>
      </x:c>
      <x:c r="H84" s="6" t="str">
        <x:v>Depends on Mach, Re, configuration</x:v>
      </x:c>
      <x:c r="I84" s="6" t="str">
        <x:v>NACA or original wind-tunnel / flight investigation</x:v>
      </x:c>
      <x:c r="J84" s="6" t="str">
        <x:v>Model assumption</x:v>
      </x:c>
      <x:c r="K84" s="6" t="n">
        <x:v>0.016</x:v>
      </x:c>
      <x:c r="L84" s="6" t="str">
        <x:v>P0</x:v>
      </x:c>
      <x:c r="M84" s="6" t="str">
        <x:v>Not measured for this serial</x:v>
      </x:c>
    </x:row>
    <x:row r="85">
      <x:c r="B85" s="6" t="str">
        <x:v>2 Aerodynamics</x:v>
      </x:c>
      <x:c r="C85" s="6" t="str">
        <x:v>Aero</x:v>
      </x:c>
      <x:c r="D85" s="6" t="str">
        <x:v>oswald_e</x:v>
      </x:c>
      <x:c r="E85" s="6" t="str">
        <x:v>Effective Oswald efficiency</x:v>
      </x:c>
      <x:c r="F85" s="6" t="str">
        <x:v>ratio</x:v>
      </x:c>
      <x:c r="G85" s="6" t="str">
        <x:v>Raw/fit</x:v>
      </x:c>
      <x:c r="H85" s="6" t="str">
        <x:v>Should come from whole-aircraft drag polar</x:v>
      </x:c>
      <x:c r="I85" s="6" t="str">
        <x:v>NACA or original wind-tunnel / flight investigation</x:v>
      </x:c>
      <x:c r="J85" s="6" t="str">
        <x:v>Model assumption</x:v>
      </x:c>
      <x:c r="K85" s="6" t="n">
        <x:v>0.8</x:v>
      </x:c>
      <x:c r="L85" s="6" t="str">
        <x:v>P0</x:v>
      </x:c>
      <x:c r="M85" s="6" t="str">
        <x:v>No generic e</x:v>
      </x:c>
    </x:row>
    <x:row r="86">
      <x:c r="B86" s="6" t="str">
        <x:v>2 Aerodynamics</x:v>
      </x:c>
      <x:c r="C86" s="6" t="str">
        <x:v>Aero</x:v>
      </x:c>
      <x:c r="D86" s="6" t="str">
        <x:v>induced_k</x:v>
      </x:c>
      <x:c r="E86" s="6" t="str">
        <x:v>Induced drag factor k</x:v>
      </x:c>
      <x:c r="F86" s="6" t="str">
        <x:v>ratio</x:v>
      </x:c>
      <x:c r="G86" s="6" t="str">
        <x:v>Derived</x:v>
      </x:c>
      <x:c r="H86" s="6" t="str">
        <x:v>1/(pi AR e)</x:v>
      </x:c>
      <x:c r="I86" s="6" t="str">
        <x:v>Physical model, calibrated to original flight observations</x:v>
      </x:c>
      <x:c r="J86" s="6" t="str">
        <x:v>Derived</x:v>
      </x:c>
      <x:c r="K86" s="6" t="str"/>
      <x:c r="L86" s="6" t="str">
        <x:v>P0</x:v>
      </x:c>
      <x:c r="M86" s="6" t="str"/>
    </x:row>
    <x:row r="87">
      <x:c r="B87" s="6" t="str">
        <x:v>2 Aerodynamics</x:v>
      </x:c>
      <x:c r="C87" s="6" t="str">
        <x:v>Aero</x:v>
      </x:c>
      <x:c r="D87" s="6" t="str">
        <x:v>clmax</x:v>
      </x:c>
      <x:c r="E87" s="6" t="str">
        <x:v>Maximum lift coefficient</x:v>
      </x:c>
      <x:c r="F87" s="6" t="str">
        <x:v>ratio</x:v>
      </x:c>
      <x:c r="G87" s="6" t="str">
        <x:v>Raw/fit</x:v>
      </x:c>
      <x:c r="H87" s="6" t="str">
        <x:v>CLmax by Mach/configuration and propwash</x:v>
      </x:c>
      <x:c r="I87" s="6" t="str">
        <x:v>NACA or original wind-tunnel / flight investigation</x:v>
      </x:c>
      <x:c r="J87" s="6" t="str">
        <x:v>Model assumption</x:v>
      </x:c>
      <x:c r="K87" s="6" t="n">
        <x:v>1.6</x:v>
      </x:c>
      <x:c r="L87" s="6" t="str">
        <x:v>P0</x:v>
      </x:c>
      <x:c r="M87" s="6" t="str">
        <x:v>Calibrated stall EAS needed</x:v>
      </x:c>
    </x:row>
    <x:row r="88">
      <x:c r="B88" s="6" t="str">
        <x:v>2 Aerodynamics</x:v>
      </x:c>
      <x:c r="C88" s="6" t="str">
        <x:v>Aero</x:v>
      </x:c>
      <x:c r="D88" s="6" t="str">
        <x:v>cd_wave</x:v>
      </x:c>
      <x:c r="E88" s="6" t="str">
        <x:v>Wave/compressibility drag increment</x:v>
      </x:c>
      <x:c r="F88" s="6" t="str">
        <x:v>ratio</x:v>
      </x:c>
      <x:c r="G88" s="6" t="str">
        <x:v>Raw/fit</x:v>
      </x:c>
      <x:c r="H88" s="6" t="str">
        <x:v>Mach and CL dependent</x:v>
      </x:c>
      <x:c r="I88" s="6" t="str">
        <x:v>NACA or original wind-tunnel / flight investigation</x:v>
      </x:c>
      <x:c r="J88" s="6" t="str">
        <x:v>Missing</x:v>
      </x:c>
      <x:c r="K88" s="6" t="str"/>
      <x:c r="L88" s="6" t="str">
        <x:v>P1</x:v>
      </x:c>
      <x:c r="M88" s="6" t="str">
        <x:v>NACA high-speed polar</x:v>
      </x:c>
    </x:row>
    <x:row r="89">
      <x:c r="B89" s="6" t="str">
        <x:v>2 Aerodynamics</x:v>
      </x:c>
      <x:c r="C89" s="6" t="str">
        <x:v>Aero</x:v>
      </x:c>
      <x:c r="D89" s="6" t="str">
        <x:v>cd_cooling</x:v>
      </x:c>
      <x:c r="E89" s="6" t="str">
        <x:v>Cooling/radiator drag increment</x:v>
      </x:c>
      <x:c r="F89" s="6" t="str">
        <x:v>ratio</x:v>
      </x:c>
      <x:c r="G89" s="6" t="str">
        <x:v>Raw/fit</x:v>
      </x:c>
      <x:c r="H89" s="6" t="str">
        <x:v>Shutter, power, temp, speed</x:v>
      </x:c>
      <x:c r="I89" s="6" t="str">
        <x:v>USAAF flight-test or pilot/engineering manual</x:v>
      </x:c>
      <x:c r="J89" s="6" t="str">
        <x:v>Missing</x:v>
      </x:c>
      <x:c r="K89" s="6" t="str"/>
      <x:c r="L89" s="6" t="str">
        <x:v>P1</x:v>
      </x:c>
      <x:c r="M89" s="6" t="str">
        <x:v>No fixed universal penalty</x:v>
      </x:c>
    </x:row>
    <x:row r="90">
      <x:c r="B90" s="6" t="str">
        <x:v>2 Aerodynamics</x:v>
      </x:c>
      <x:c r="C90" s="6" t="str">
        <x:v>Aero</x:v>
      </x:c>
      <x:c r="D90" s="6" t="str">
        <x:v>cd_stores</x:v>
      </x:c>
      <x:c r="E90" s="6" t="str">
        <x:v>External store drag increment</x:v>
      </x:c>
      <x:c r="F90" s="6" t="str">
        <x:v>ratio</x:v>
      </x:c>
      <x:c r="G90" s="6" t="str">
        <x:v>Raw/fit</x:v>
      </x:c>
      <x:c r="H90" s="6" t="str">
        <x:v>Racks, tanks, bombs by config</x:v>
      </x:c>
      <x:c r="I90" s="6" t="str">
        <x:v>USAAF flight-test or pilot/engineering manual</x:v>
      </x:c>
      <x:c r="J90" s="6" t="str">
        <x:v>Partial</x:v>
      </x:c>
      <x:c r="K90" s="6" t="str">
        <x:v>Racks included baseline</x:v>
      </x:c>
      <x:c r="L90" s="6" t="str">
        <x:v>P1</x:v>
      </x:c>
      <x:c r="M90" s="6" t="str">
        <x:v>Separate deltas needed</x:v>
      </x:c>
    </x:row>
    <x:row r="91">
      <x:c r="B91" s="6" t="str">
        <x:v>2 Aerodynamics</x:v>
      </x:c>
      <x:c r="C91" s="6" t="str">
        <x:v>Aero</x:v>
      </x:c>
      <x:c r="D91" s="6" t="str">
        <x:v>cd_total</x:v>
      </x:c>
      <x:c r="E91" s="6" t="str">
        <x:v>Total drag coefficient</x:v>
      </x:c>
      <x:c r="F91" s="6" t="str">
        <x:v>ratio</x:v>
      </x:c>
      <x:c r="G91" s="6" t="str">
        <x:v>Derived</x:v>
      </x:c>
      <x:c r="H91" s="6" t="str">
        <x:v>CD0 + k CL² + wave/configuration</x:v>
      </x:c>
      <x:c r="I91" s="6" t="str">
        <x:v>Physical model, calibrated to original flight observations</x:v>
      </x:c>
      <x:c r="J91" s="6" t="str">
        <x:v>Derived</x:v>
      </x:c>
      <x:c r="K91" s="6" t="str"/>
      <x:c r="L91" s="6" t="str">
        <x:v>P0</x:v>
      </x:c>
      <x:c r="M91" s="6" t="str"/>
    </x:row>
    <x:row r="92">
      <x:c r="B92" s="6" t="str">
        <x:v>2 Aerodynamics</x:v>
      </x:c>
      <x:c r="C92" s="6" t="str">
        <x:v>Aero</x:v>
      </x:c>
      <x:c r="D92" s="6" t="str">
        <x:v>ld_ratio</x:v>
      </x:c>
      <x:c r="E92" s="6" t="str">
        <x:v>Lift to drag ratio</x:v>
      </x:c>
      <x:c r="F92" s="6" t="str">
        <x:v>ratio</x:v>
      </x:c>
      <x:c r="G92" s="6" t="str">
        <x:v>Derived</x:v>
      </x:c>
      <x:c r="H92" s="6" t="str">
        <x:v>nW / D</x:v>
      </x:c>
      <x:c r="I92" s="6" t="str">
        <x:v>Physical model, calibrated to original flight observations</x:v>
      </x:c>
      <x:c r="J92" s="6" t="str">
        <x:v>Derived</x:v>
      </x:c>
      <x:c r="K92" s="6" t="str"/>
      <x:c r="L92" s="6" t="str">
        <x:v>P0</x:v>
      </x:c>
      <x:c r="M92" s="6" t="str"/>
    </x:row>
    <x:row r="93">
      <x:c r="B93" s="6" t="str">
        <x:v>2 Aerodynamics</x:v>
      </x:c>
      <x:c r="C93" s="6" t="str">
        <x:v>Forces</x:v>
      </x:c>
      <x:c r="D93" s="6" t="str">
        <x:v>drag_parasite</x:v>
      </x:c>
      <x:c r="E93" s="6" t="str">
        <x:v>Parasite drag</x:v>
      </x:c>
      <x:c r="F93" s="6" t="str">
        <x:v>lbf</x:v>
      </x:c>
      <x:c r="G93" s="6" t="str">
        <x:v>Derived</x:v>
      </x:c>
      <x:c r="H93" s="6" t="str">
        <x:v>q S CD0</x:v>
      </x:c>
      <x:c r="I93" s="6" t="str">
        <x:v>Physical model, calibrated to original flight observations</x:v>
      </x:c>
      <x:c r="J93" s="6" t="str">
        <x:v>Derived</x:v>
      </x:c>
      <x:c r="K93" s="6" t="str"/>
      <x:c r="L93" s="6" t="str">
        <x:v>P0</x:v>
      </x:c>
      <x:c r="M93" s="6" t="str"/>
    </x:row>
    <x:row r="94">
      <x:c r="B94" s="6" t="str">
        <x:v>2 Aerodynamics</x:v>
      </x:c>
      <x:c r="C94" s="6" t="str">
        <x:v>Forces</x:v>
      </x:c>
      <x:c r="D94" s="6" t="str">
        <x:v>drag_induced</x:v>
      </x:c>
      <x:c r="E94" s="6" t="str">
        <x:v>Induced drag</x:v>
      </x:c>
      <x:c r="F94" s="6" t="str">
        <x:v>lbf</x:v>
      </x:c>
      <x:c r="G94" s="6" t="str">
        <x:v>Derived</x:v>
      </x:c>
      <x:c r="H94" s="6" t="str">
        <x:v>q S k CL²</x:v>
      </x:c>
      <x:c r="I94" s="6" t="str">
        <x:v>Physical model, calibrated to original flight observations</x:v>
      </x:c>
      <x:c r="J94" s="6" t="str">
        <x:v>Derived</x:v>
      </x:c>
      <x:c r="K94" s="6" t="str"/>
      <x:c r="L94" s="6" t="str">
        <x:v>P0</x:v>
      </x:c>
      <x:c r="M94" s="6" t="str"/>
    </x:row>
    <x:row r="95">
      <x:c r="B95" s="6" t="str">
        <x:v>2 Aerodynamics</x:v>
      </x:c>
      <x:c r="C95" s="6" t="str">
        <x:v>Forces</x:v>
      </x:c>
      <x:c r="D95" s="6" t="str">
        <x:v>drag_other</x:v>
      </x:c>
      <x:c r="E95" s="6" t="str">
        <x:v>Additional drag</x:v>
      </x:c>
      <x:c r="F95" s="6" t="str">
        <x:v>lbf</x:v>
      </x:c>
      <x:c r="G95" s="6" t="str">
        <x:v>Derived</x:v>
      </x:c>
      <x:c r="H95" s="6" t="str">
        <x:v>Compressibility, cooling or stores</x:v>
      </x:c>
      <x:c r="I95" s="6" t="str">
        <x:v>Physical model, calibrated to original flight observations</x:v>
      </x:c>
      <x:c r="J95" s="6" t="str">
        <x:v>Derived</x:v>
      </x:c>
      <x:c r="K95" s="6" t="str"/>
      <x:c r="L95" s="6" t="str">
        <x:v>P1</x:v>
      </x:c>
      <x:c r="M95" s="6" t="str"/>
    </x:row>
    <x:row r="96">
      <x:c r="B96" s="6" t="str">
        <x:v>2 Aerodynamics</x:v>
      </x:c>
      <x:c r="C96" s="6" t="str">
        <x:v>Forces</x:v>
      </x:c>
      <x:c r="D96" s="6" t="str">
        <x:v>drag_total</x:v>
      </x:c>
      <x:c r="E96" s="6" t="str">
        <x:v>Total drag</x:v>
      </x:c>
      <x:c r="F96" s="6" t="str">
        <x:v>lbf</x:v>
      </x:c>
      <x:c r="G96" s="6" t="str">
        <x:v>Derived</x:v>
      </x:c>
      <x:c r="H96" s="6" t="str">
        <x:v>Sum of components</x:v>
      </x:c>
      <x:c r="I96" s="6" t="str">
        <x:v>Physical model, calibrated to original flight observations</x:v>
      </x:c>
      <x:c r="J96" s="6" t="str">
        <x:v>Derived</x:v>
      </x:c>
      <x:c r="K96" s="6" t="str"/>
      <x:c r="L96" s="6" t="str">
        <x:v>P0</x:v>
      </x:c>
      <x:c r="M96" s="6" t="str"/>
    </x:row>
    <x:row r="97">
      <x:c r="B97" s="6" t="str">
        <x:v>2 Aerodynamics</x:v>
      </x:c>
      <x:c r="C97" s="6" t="str">
        <x:v>Forces</x:v>
      </x:c>
      <x:c r="D97" s="6" t="str">
        <x:v>parasite_pct</x:v>
      </x:c>
      <x:c r="E97" s="6" t="str">
        <x:v>Parasite share of total</x:v>
      </x:c>
      <x:c r="F97" s="6" t="str">
        <x:v>%</x:v>
      </x:c>
      <x:c r="G97" s="6" t="str">
        <x:v>Derived</x:v>
      </x:c>
      <x:c r="H97" s="6" t="str">
        <x:v>Parasite / total, changes with speed</x:v>
      </x:c>
      <x:c r="I97" s="6" t="str">
        <x:v>Physical model, calibrated to original flight observations</x:v>
      </x:c>
      <x:c r="J97" s="6" t="str">
        <x:v>Derived</x:v>
      </x:c>
      <x:c r="K97" s="6" t="str"/>
      <x:c r="L97" s="6" t="str">
        <x:v>P0</x:v>
      </x:c>
      <x:c r="M97" s="6" t="str">
        <x:v>Never fixed 95/5</x:v>
      </x:c>
    </x:row>
    <x:row r="98">
      <x:c r="B98" s="6" t="str">
        <x:v>2 Aerodynamics</x:v>
      </x:c>
      <x:c r="C98" s="6" t="str">
        <x:v>Forces</x:v>
      </x:c>
      <x:c r="D98" s="6" t="str">
        <x:v>induced_pct</x:v>
      </x:c>
      <x:c r="E98" s="6" t="str">
        <x:v>Induced share of total</x:v>
      </x:c>
      <x:c r="F98" s="6" t="str">
        <x:v>%</x:v>
      </x:c>
      <x:c r="G98" s="6" t="str">
        <x:v>Derived</x:v>
      </x:c>
      <x:c r="H98" s="6" t="str">
        <x:v>Induced / total, changes with speed</x:v>
      </x:c>
      <x:c r="I98" s="6" t="str">
        <x:v>Physical model, calibrated to original flight observations</x:v>
      </x:c>
      <x:c r="J98" s="6" t="str">
        <x:v>Derived</x:v>
      </x:c>
      <x:c r="K98" s="6" t="str"/>
      <x:c r="L98" s="6" t="str">
        <x:v>P0</x:v>
      </x:c>
      <x:c r="M98" s="6" t="str">
        <x:v>Never fixed 5%</x:v>
      </x:c>
    </x:row>
    <x:row r="99">
      <x:c r="B99" s="6" t="str">
        <x:v>2 Aerodynamics</x:v>
      </x:c>
      <x:c r="C99" s="6" t="str">
        <x:v>Power</x:v>
      </x:c>
      <x:c r="D99" s="6" t="str">
        <x:v>power_shaft</x:v>
      </x:c>
      <x:c r="E99" s="6" t="str">
        <x:v>Shaft BHP available</x:v>
      </x:c>
      <x:c r="F99" s="6" t="str">
        <x:v>bhp</x:v>
      </x:c>
      <x:c r="G99" s="6" t="str">
        <x:v>Derived from nodes</x:v>
      </x:c>
      <x:c r="H99" s="6" t="str">
        <x:v>Rating/gear altitude interpolation</x:v>
      </x:c>
      <x:c r="I99" s="6" t="str">
        <x:v>Original engine or propeller manufacturer chart</x:v>
      </x:c>
      <x:c r="J99" s="6" t="str">
        <x:v>Derived</x:v>
      </x:c>
      <x:c r="K99" s="6" t="n">
        <x:v>1390</x:v>
      </x:c>
      <x:c r="L99" s="6" t="str">
        <x:v>P0</x:v>
      </x:c>
      <x:c r="M99" s="6" t="str">
        <x:v>Nodes from manufacturer curve</x:v>
      </x:c>
    </x:row>
    <x:row r="100">
      <x:c r="B100" s="6" t="str">
        <x:v>2 Aerodynamics</x:v>
      </x:c>
      <x:c r="C100" s="6" t="str">
        <x:v>Power</x:v>
      </x:c>
      <x:c r="D100" s="6" t="str">
        <x:v>power_propulsive</x:v>
      </x:c>
      <x:c r="E100" s="6" t="str">
        <x:v>Useful propulsive power</x:v>
      </x:c>
      <x:c r="F100" s="6" t="str">
        <x:v>HP</x:v>
      </x:c>
      <x:c r="G100" s="6" t="str">
        <x:v>Derived</x:v>
      </x:c>
      <x:c r="H100" s="6" t="str">
        <x:v>eta × BHP</x:v>
      </x:c>
      <x:c r="I100" s="6" t="str">
        <x:v>Physical model, calibrated to original flight observations</x:v>
      </x:c>
      <x:c r="J100" s="6" t="str">
        <x:v>Derived</x:v>
      </x:c>
      <x:c r="K100" s="6" t="str"/>
      <x:c r="L100" s="6" t="str">
        <x:v>P0</x:v>
      </x:c>
      <x:c r="M100" s="6" t="str"/>
    </x:row>
    <x:row r="101">
      <x:c r="B101" s="6" t="str">
        <x:v>2 Aerodynamics</x:v>
      </x:c>
      <x:c r="C101" s="6" t="str">
        <x:v>Power</x:v>
      </x:c>
      <x:c r="D101" s="6" t="str">
        <x:v>power_req_prop</x:v>
      </x:c>
      <x:c r="E101" s="6" t="str">
        <x:v>Propulsive HP required</x:v>
      </x:c>
      <x:c r="F101" s="6" t="str">
        <x:v>HP</x:v>
      </x:c>
      <x:c r="G101" s="6" t="str">
        <x:v>Derived</x:v>
      </x:c>
      <x:c r="H101" s="6" t="str">
        <x:v>Dtotal × TAS / conversion</x:v>
      </x:c>
      <x:c r="I101" s="6" t="str">
        <x:v>Physical model, calibrated to original flight observations</x:v>
      </x:c>
      <x:c r="J101" s="6" t="str">
        <x:v>Derived</x:v>
      </x:c>
      <x:c r="K101" s="6" t="str"/>
      <x:c r="L101" s="6" t="str">
        <x:v>P0</x:v>
      </x:c>
      <x:c r="M101" s="6" t="str"/>
    </x:row>
    <x:row r="102">
      <x:c r="B102" s="6" t="str">
        <x:v>2 Aerodynamics</x:v>
      </x:c>
      <x:c r="C102" s="6" t="str">
        <x:v>Power</x:v>
      </x:c>
      <x:c r="D102" s="6" t="str">
        <x:v>power_req_shaft</x:v>
      </x:c>
      <x:c r="E102" s="6" t="str">
        <x:v>Shaft BHP required</x:v>
      </x:c>
      <x:c r="F102" s="6" t="str">
        <x:v>bhp</x:v>
      </x:c>
      <x:c r="G102" s="6" t="str">
        <x:v>Derived</x:v>
      </x:c>
      <x:c r="H102" s="6" t="str">
        <x:v>Propulsive HP required / eta</x:v>
      </x:c>
      <x:c r="I102" s="6" t="str">
        <x:v>Physical model, calibrated to original flight observations</x:v>
      </x:c>
      <x:c r="J102" s="6" t="str">
        <x:v>Derived</x:v>
      </x:c>
      <x:c r="K102" s="6" t="str"/>
      <x:c r="L102" s="6" t="str">
        <x:v>P0</x:v>
      </x:c>
      <x:c r="M102" s="6" t="str"/>
    </x:row>
    <x:row r="103">
      <x:c r="B103" s="6" t="str">
        <x:v>2 Aerodynamics</x:v>
      </x:c>
      <x:c r="C103" s="6" t="str">
        <x:v>Power</x:v>
      </x:c>
      <x:c r="D103" s="6" t="str">
        <x:v>power_excess</x:v>
      </x:c>
      <x:c r="E103" s="6" t="str">
        <x:v>Excess useful power</x:v>
      </x:c>
      <x:c r="F103" s="6" t="str">
        <x:v>HP</x:v>
      </x:c>
      <x:c r="G103" s="6" t="str">
        <x:v>Derived</x:v>
      </x:c>
      <x:c r="H103" s="6" t="str">
        <x:v>Available useful HP minus required</x:v>
      </x:c>
      <x:c r="I103" s="6" t="str">
        <x:v>Physical model, calibrated to original flight observations</x:v>
      </x:c>
      <x:c r="J103" s="6" t="str">
        <x:v>Derived</x:v>
      </x:c>
      <x:c r="K103" s="6" t="str"/>
      <x:c r="L103" s="6" t="str">
        <x:v>P0</x:v>
      </x:c>
      <x:c r="M103" s="6" t="str"/>
    </x:row>
    <x:row r="104">
      <x:c r="B104" s="6" t="str">
        <x:v>2 Aerodynamics</x:v>
      </x:c>
      <x:c r="C104" s="6" t="str">
        <x:v>Power</x:v>
      </x:c>
      <x:c r="D104" s="6" t="str">
        <x:v>shaft_power_weight</x:v>
      </x:c>
      <x:c r="E104" s="6" t="str">
        <x:v>Engine horsepower / weight</x:v>
      </x:c>
      <x:c r="F104" s="6" t="str">
        <x:v>HP/lb</x:v>
      </x:c>
      <x:c r="G104" s="6" t="str">
        <x:v>Derived</x:v>
      </x:c>
      <x:c r="H104" s="6" t="str">
        <x:v>Altitude BHP / current mass</x:v>
      </x:c>
      <x:c r="I104" s="6" t="str">
        <x:v>Physical model, calibrated to original flight observations</x:v>
      </x:c>
      <x:c r="J104" s="6" t="str">
        <x:v>Derived</x:v>
      </x:c>
      <x:c r="K104" s="6" t="str"/>
      <x:c r="L104" s="6" t="str">
        <x:v>P0</x:v>
      </x:c>
      <x:c r="M104" s="6" t="str"/>
    </x:row>
    <x:row r="105">
      <x:c r="B105" s="6" t="str">
        <x:v>2 Aerodynamics</x:v>
      </x:c>
      <x:c r="C105" s="6" t="str">
        <x:v>Power</x:v>
      </x:c>
      <x:c r="D105" s="6" t="str">
        <x:v>prop_power_weight</x:v>
      </x:c>
      <x:c r="E105" s="6" t="str">
        <x:v>Propulsive horsepower / weight</x:v>
      </x:c>
      <x:c r="F105" s="6" t="str">
        <x:v>HP/lb</x:v>
      </x:c>
      <x:c r="G105" s="6" t="str">
        <x:v>Derived</x:v>
      </x:c>
      <x:c r="H105" s="6" t="str">
        <x:v>eta BHP / current mass</x:v>
      </x:c>
      <x:c r="I105" s="6" t="str">
        <x:v>Physical model, calibrated to original flight observations</x:v>
      </x:c>
      <x:c r="J105" s="6" t="str">
        <x:v>Derived</x:v>
      </x:c>
      <x:c r="K105" s="6" t="str"/>
      <x:c r="L105" s="6" t="str">
        <x:v>P0</x:v>
      </x:c>
      <x:c r="M105" s="6" t="str"/>
    </x:row>
    <x:row r="106">
      <x:c r="B106" s="6" t="str">
        <x:v>2 Aerodynamics</x:v>
      </x:c>
      <x:c r="C106" s="6" t="str">
        <x:v>Power</x:v>
      </x:c>
      <x:c r="D106" s="6" t="str">
        <x:v>wing_loading</x:v>
      </x:c>
      <x:c r="E106" s="6" t="str">
        <x:v>Wing loading</x:v>
      </x:c>
      <x:c r="F106" s="6" t="str">
        <x:v>lb/ft²</x:v>
      </x:c>
      <x:c r="G106" s="6" t="str">
        <x:v>Derived</x:v>
      </x:c>
      <x:c r="H106" s="6" t="str">
        <x:v>Current weight / area</x:v>
      </x:c>
      <x:c r="I106" s="6" t="str">
        <x:v>Physical model, calibrated to original flight observations</x:v>
      </x:c>
      <x:c r="J106" s="6" t="str">
        <x:v>Derived</x:v>
      </x:c>
      <x:c r="K106" s="6" t="str"/>
      <x:c r="L106" s="6" t="str">
        <x:v>P0</x:v>
      </x:c>
      <x:c r="M106" s="6" t="str"/>
    </x:row>
    <x:row r="107">
      <x:c r="B107" s="6" t="str">
        <x:v>2 Aerodynamics</x:v>
      </x:c>
      <x:c r="C107" s="6" t="str">
        <x:v>Energy</x:v>
      </x:c>
      <x:c r="D107" s="6" t="str">
        <x:v>ps</x:v>
      </x:c>
      <x:c r="E107" s="6" t="str">
        <x:v>Specific excess power</x:v>
      </x:c>
      <x:c r="F107" s="6" t="str">
        <x:v>m/s</x:v>
      </x:c>
      <x:c r="G107" s="6" t="str">
        <x:v>Derived</x:v>
      </x:c>
      <x:c r="H107" s="6" t="str">
        <x:v>(Pavailable - Prequired) / W</x:v>
      </x:c>
      <x:c r="I107" s="6" t="str">
        <x:v>Physical model, calibrated to original flight observations</x:v>
      </x:c>
      <x:c r="J107" s="6" t="str">
        <x:v>Derived</x:v>
      </x:c>
      <x:c r="K107" s="6" t="str"/>
      <x:c r="L107" s="6" t="str">
        <x:v>P0</x:v>
      </x:c>
      <x:c r="M107" s="6" t="str"/>
    </x:row>
    <x:row r="108">
      <x:c r="B108" s="6" t="str">
        <x:v>2 Aerodynamics</x:v>
      </x:c>
      <x:c r="C108" s="6" t="str">
        <x:v>Energy</x:v>
      </x:c>
      <x:c r="D108" s="6" t="str">
        <x:v>roc</x:v>
      </x:c>
      <x:c r="E108" s="6" t="str">
        <x:v>Rate of climb</x:v>
      </x:c>
      <x:c r="F108" s="6" t="str">
        <x:v>ft/min</x:v>
      </x:c>
      <x:c r="G108" s="6" t="str">
        <x:v>Derived</x:v>
      </x:c>
      <x:c r="H108" s="6" t="str">
        <x:v>Ps at steady constant-speed climb</x:v>
      </x:c>
      <x:c r="I108" s="6" t="str">
        <x:v>Physical model, calibrated to original flight observations</x:v>
      </x:c>
      <x:c r="J108" s="6" t="str">
        <x:v>Derived</x:v>
      </x:c>
      <x:c r="K108" s="6" t="str"/>
      <x:c r="L108" s="6" t="str">
        <x:v>P0</x:v>
      </x:c>
      <x:c r="M108" s="6" t="str">
        <x:v>Approximation</x:v>
      </x:c>
    </x:row>
    <x:row r="109">
      <x:c r="B109" s="6" t="str">
        <x:v>2 Aerodynamics</x:v>
      </x:c>
      <x:c r="C109" s="6" t="str">
        <x:v>Energy</x:v>
      </x:c>
      <x:c r="D109" s="6" t="str">
        <x:v>vy</x:v>
      </x:c>
      <x:c r="E109" s="6" t="str">
        <x:v>Best rate climb speed</x:v>
      </x:c>
      <x:c r="F109" s="6" t="str">
        <x:v>mph TAS</x:v>
      </x:c>
      <x:c r="G109" s="6" t="str">
        <x:v>Derived</x:v>
      </x:c>
      <x:c r="H109" s="6" t="str">
        <x:v>Speed maximizing Ps at altitude</x:v>
      </x:c>
      <x:c r="I109" s="6" t="str">
        <x:v>Physical model, calibrated to original flight observations</x:v>
      </x:c>
      <x:c r="J109" s="6" t="str">
        <x:v>Derived</x:v>
      </x:c>
      <x:c r="K109" s="6" t="str"/>
      <x:c r="L109" s="6" t="str">
        <x:v>P0</x:v>
      </x:c>
      <x:c r="M109" s="6" t="str">
        <x:v>Validate vs historical climb speed</x:v>
      </x:c>
    </x:row>
    <x:row r="110">
      <x:c r="B110" s="6" t="str">
        <x:v>2 Aerodynamics</x:v>
      </x:c>
      <x:c r="C110" s="6" t="str">
        <x:v>Energy</x:v>
      </x:c>
      <x:c r="D110" s="6" t="str">
        <x:v>vx</x:v>
      </x:c>
      <x:c r="E110" s="6" t="str">
        <x:v>Best climb angle speed</x:v>
      </x:c>
      <x:c r="F110" s="6" t="str">
        <x:v>mph TAS</x:v>
      </x:c>
      <x:c r="G110" s="6" t="str">
        <x:v>Derived</x:v>
      </x:c>
      <x:c r="H110" s="6" t="str">
        <x:v>Speed maximizing excess thrust</x:v>
      </x:c>
      <x:c r="I110" s="6" t="str">
        <x:v>Physical model, calibrated to original flight observations</x:v>
      </x:c>
      <x:c r="J110" s="6" t="str">
        <x:v>Missing</x:v>
      </x:c>
      <x:c r="K110" s="6" t="str"/>
      <x:c r="L110" s="6" t="str">
        <x:v>P1</x:v>
      </x:c>
      <x:c r="M110" s="6" t="str">
        <x:v>Not in first kernel</x:v>
      </x:c>
    </x:row>
    <x:row r="111">
      <x:c r="B111" s="6" t="str">
        <x:v>2 Aerodynamics</x:v>
      </x:c>
      <x:c r="C111" s="6" t="str">
        <x:v>Energy</x:v>
      </x:c>
      <x:c r="D111" s="6" t="str">
        <x:v>time_climb</x:v>
      </x:c>
      <x:c r="E111" s="6" t="str">
        <x:v>Time to height</x:v>
      </x:c>
      <x:c r="F111" s="6" t="str">
        <x:v>min</x:v>
      </x:c>
      <x:c r="G111" s="6" t="str">
        <x:v>Derived</x:v>
      </x:c>
      <x:c r="H111" s="6" t="str">
        <x:v>Integral dh/ROC with gear schedule</x:v>
      </x:c>
      <x:c r="I111" s="6" t="str">
        <x:v>Physical model, calibrated to original flight observations</x:v>
      </x:c>
      <x:c r="J111" s="6" t="str">
        <x:v>Derived</x:v>
      </x:c>
      <x:c r="K111" s="6" t="str"/>
      <x:c r="L111" s="6" t="str">
        <x:v>P1</x:v>
      </x:c>
      <x:c r="M111" s="6" t="str">
        <x:v>Constant mass approx</x:v>
      </x:c>
    </x:row>
    <x:row r="112">
      <x:c r="B112" s="6" t="str">
        <x:v>2 Aerodynamics</x:v>
      </x:c>
      <x:c r="C112" s="6" t="str">
        <x:v>Energy</x:v>
      </x:c>
      <x:c r="D112" s="6" t="str">
        <x:v>level_accel</x:v>
      </x:c>
      <x:c r="E112" s="6" t="str">
        <x:v>Level acceleration</x:v>
      </x:c>
      <x:c r="F112" s="6" t="str">
        <x:v>m/s²</x:v>
      </x:c>
      <x:c r="G112" s="6" t="str">
        <x:v>Derived</x:v>
      </x:c>
      <x:c r="H112" s="6" t="str">
        <x:v>Excess useful power divided by m V</x:v>
      </x:c>
      <x:c r="I112" s="6" t="str">
        <x:v>Physical model, calibrated to original flight observations</x:v>
      </x:c>
      <x:c r="J112" s="6" t="str">
        <x:v>Derived</x:v>
      </x:c>
      <x:c r="K112" s="6" t="str"/>
      <x:c r="L112" s="6" t="str">
        <x:v>P0</x:v>
      </x:c>
      <x:c r="M112" s="6" t="str"/>
    </x:row>
    <x:row r="113">
      <x:c r="B113" s="6" t="str">
        <x:v>2 Aerodynamics</x:v>
      </x:c>
      <x:c r="C113" s="6" t="str">
        <x:v>Energy</x:v>
      </x:c>
      <x:c r="D113" s="6" t="str">
        <x:v>vmax</x:v>
      </x:c>
      <x:c r="E113" s="6" t="str">
        <x:v>Maximum level speed</x:v>
      </x:c>
      <x:c r="F113" s="6" t="str">
        <x:v>mph TAS</x:v>
      </x:c>
      <x:c r="G113" s="6" t="str">
        <x:v>Derived</x:v>
      </x:c>
      <x:c r="H113" s="6" t="str">
        <x:v>Highest root of available-required power</x:v>
      </x:c>
      <x:c r="I113" s="6" t="str">
        <x:v>Physical model, calibrated to original flight observations</x:v>
      </x:c>
      <x:c r="J113" s="6" t="str">
        <x:v>Derived</x:v>
      </x:c>
      <x:c r="K113" s="6" t="str"/>
      <x:c r="L113" s="6" t="str">
        <x:v>P0</x:v>
      </x:c>
      <x:c r="M113" s="6" t="str">
        <x:v>Compared to observed points</x:v>
      </x:c>
    </x:row>
    <x:row r="114">
      <x:c r="B114" s="6" t="str">
        <x:v>2 Aerodynamics</x:v>
      </x:c>
      <x:c r="C114" s="6" t="str">
        <x:v>Energy</x:v>
      </x:c>
      <x:c r="D114" s="6" t="str">
        <x:v>stall_eas</x:v>
      </x:c>
      <x:c r="E114" s="6" t="str">
        <x:v>Modeled stall speed</x:v>
      </x:c>
      <x:c r="F114" s="6" t="str">
        <x:v>mph EAS</x:v>
      </x:c>
      <x:c r="G114" s="6" t="str">
        <x:v>Derived</x:v>
      </x:c>
      <x:c r="H114" s="6" t="str">
        <x:v>sqrt(2W / rho0 S CLmax)</x:v>
      </x:c>
      <x:c r="I114" s="6" t="str">
        <x:v>Physical model, calibrated to original flight observations</x:v>
      </x:c>
      <x:c r="J114" s="6" t="str">
        <x:v>Model assumption</x:v>
      </x:c>
      <x:c r="K114" s="6" t="str"/>
      <x:c r="L114" s="6" t="str">
        <x:v>P0</x:v>
      </x:c>
      <x:c r="M114" s="6" t="str">
        <x:v>Needs IAS calibration</x:v>
      </x:c>
    </x:row>
    <x:row r="115">
      <x:c r="B115" s="6" t="str">
        <x:v>3 Maneuverability</x:v>
      </x:c>
      <x:c r="C115" s="6" t="str">
        <x:v>Envelope</x:v>
      </x:c>
      <x:c r="D115" s="6" t="str">
        <x:v>load_factor</x:v>
      </x:c>
      <x:c r="E115" s="6" t="str">
        <x:v>Load factor n</x:v>
      </x:c>
      <x:c r="F115" s="6" t="str">
        <x:v>G</x:v>
      </x:c>
      <x:c r="G115" s="6" t="str">
        <x:v>Input</x:v>
      </x:c>
      <x:c r="H115" s="6" t="str">
        <x:v>Chosen coordinated turn demand</x:v>
      </x:c>
      <x:c r="I115" s="6" t="str">
        <x:v>Physical model, calibrated to original flight observations</x:v>
      </x:c>
      <x:c r="J115" s="6" t="str">
        <x:v>Scenario</x:v>
      </x:c>
      <x:c r="K115" s="6" t="n">
        <x:v>1</x:v>
      </x:c>
      <x:c r="L115" s="6" t="str">
        <x:v>P0</x:v>
      </x:c>
      <x:c r="M115" s="6" t="str"/>
    </x:row>
    <x:row r="116">
      <x:c r="B116" s="6" t="str">
        <x:v>3 Maneuverability</x:v>
      </x:c>
      <x:c r="C116" s="6" t="str">
        <x:v>Envelope</x:v>
      </x:c>
      <x:c r="D116" s="6" t="str">
        <x:v>structural_g</x:v>
      </x:c>
      <x:c r="E116" s="6" t="str">
        <x:v>Structural positive-G limit</x:v>
      </x:c>
      <x:c r="F116" s="6" t="str">
        <x:v>G</x:v>
      </x:c>
      <x:c r="G116" s="6" t="str">
        <x:v>Raw</x:v>
      </x:c>
      <x:c r="H116" s="6" t="str">
        <x:v>Weight and IAS dependent</x:v>
      </x:c>
      <x:c r="I116" s="6" t="str">
        <x:v>USAAF flight-test or pilot/engineering manual</x:v>
      </x:c>
      <x:c r="J116" s="6" t="str">
        <x:v>Model assumption</x:v>
      </x:c>
      <x:c r="K116" s="6" t="n">
        <x:v>6</x:v>
      </x:c>
      <x:c r="L116" s="6" t="str">
        <x:v>P0</x:v>
      </x:c>
      <x:c r="M116" s="6" t="str">
        <x:v>6G scenario only</x:v>
      </x:c>
    </x:row>
    <x:row r="117">
      <x:c r="B117" s="6" t="str">
        <x:v>3 Maneuverability</x:v>
      </x:c>
      <x:c r="C117" s="6" t="str">
        <x:v>Envelope</x:v>
      </x:c>
      <x:c r="D117" s="6" t="str">
        <x:v>pilot_g</x:v>
      </x:c>
      <x:c r="E117" s="6" t="str">
        <x:v>Pilot tolerance constraint</x:v>
      </x:c>
      <x:c r="F117" s="6" t="str">
        <x:v>G/time</x:v>
      </x:c>
      <x:c r="G117" s="6" t="str">
        <x:v>Scenario</x:v>
      </x:c>
      <x:c r="H117" s="6" t="str">
        <x:v>Duration-dependent and equipment-specific</x:v>
      </x:c>
      <x:c r="I117" s="6" t="str">
        <x:v>USAAF flight-test or pilot/engineering manual</x:v>
      </x:c>
      <x:c r="J117" s="6" t="str">
        <x:v>Missing</x:v>
      </x:c>
      <x:c r="K117" s="6" t="str"/>
      <x:c r="L117" s="6" t="str">
        <x:v>P2</x:v>
      </x:c>
      <x:c r="M117" s="6" t="str">
        <x:v>Separate pilot model</x:v>
      </x:c>
    </x:row>
    <x:row r="118">
      <x:c r="B118" s="6" t="str">
        <x:v>3 Maneuverability</x:v>
      </x:c>
      <x:c r="C118" s="6" t="str">
        <x:v>Envelope</x:v>
      </x:c>
      <x:c r="D118" s="6" t="str">
        <x:v>n_clmax</x:v>
      </x:c>
      <x:c r="E118" s="6" t="str">
        <x:v>Aerodynamic max G</x:v>
      </x:c>
      <x:c r="F118" s="6" t="str">
        <x:v>G</x:v>
      </x:c>
      <x:c r="G118" s="6" t="str">
        <x:v>Derived</x:v>
      </x:c>
      <x:c r="H118" s="6" t="str">
        <x:v>q S CLmax / W</x:v>
      </x:c>
      <x:c r="I118" s="6" t="str">
        <x:v>Physical model, calibrated to original flight observations</x:v>
      </x:c>
      <x:c r="J118" s="6" t="str">
        <x:v>Derived</x:v>
      </x:c>
      <x:c r="K118" s="6" t="str"/>
      <x:c r="L118" s="6" t="str">
        <x:v>P0</x:v>
      </x:c>
      <x:c r="M118" s="6" t="str"/>
    </x:row>
    <x:row r="119">
      <x:c r="B119" s="6" t="str">
        <x:v>3 Maneuverability</x:v>
      </x:c>
      <x:c r="C119" s="6" t="str">
        <x:v>Envelope</x:v>
      </x:c>
      <x:c r="D119" s="6" t="str">
        <x:v>n_instant</x:v>
      </x:c>
      <x:c r="E119" s="6" t="str">
        <x:v>Instantaneous max G</x:v>
      </x:c>
      <x:c r="F119" s="6" t="str">
        <x:v>G</x:v>
      </x:c>
      <x:c r="G119" s="6" t="str">
        <x:v>Derived</x:v>
      </x:c>
      <x:c r="H119" s="6" t="str">
        <x:v>Minimum aerodynamic and structural limits</x:v>
      </x:c>
      <x:c r="I119" s="6" t="str">
        <x:v>Physical model, calibrated to original flight observations</x:v>
      </x:c>
      <x:c r="J119" s="6" t="str">
        <x:v>Derived</x:v>
      </x:c>
      <x:c r="K119" s="6" t="str"/>
      <x:c r="L119" s="6" t="str">
        <x:v>P0</x:v>
      </x:c>
      <x:c r="M119" s="6" t="str"/>
    </x:row>
    <x:row r="120">
      <x:c r="B120" s="6" t="str">
        <x:v>3 Maneuverability</x:v>
      </x:c>
      <x:c r="C120" s="6" t="str">
        <x:v>Envelope</x:v>
      </x:c>
      <x:c r="D120" s="6" t="str">
        <x:v>n_sustain</x:v>
      </x:c>
      <x:c r="E120" s="6" t="str">
        <x:v>Sustained max G</x:v>
      </x:c>
      <x:c r="F120" s="6" t="str">
        <x:v>G</x:v>
      </x:c>
      <x:c r="G120" s="6" t="str">
        <x:v>Derived</x:v>
      </x:c>
      <x:c r="H120" s="6" t="str">
        <x:v>Available power equals turn-required power</x:v>
      </x:c>
      <x:c r="I120" s="6" t="str">
        <x:v>Physical model, calibrated to original flight observations</x:v>
      </x:c>
      <x:c r="J120" s="6" t="str">
        <x:v>Derived</x:v>
      </x:c>
      <x:c r="K120" s="6" t="str"/>
      <x:c r="L120" s="6" t="str">
        <x:v>P0</x:v>
      </x:c>
      <x:c r="M120" s="6" t="str"/>
    </x:row>
    <x:row r="121">
      <x:c r="B121" s="6" t="str">
        <x:v>3 Maneuverability</x:v>
      </x:c>
      <x:c r="C121" s="6" t="str">
        <x:v>Envelope</x:v>
      </x:c>
      <x:c r="D121" s="6" t="str">
        <x:v>turn_rate_instant</x:v>
      </x:c>
      <x:c r="E121" s="6" t="str">
        <x:v>Instantaneous turn rate</x:v>
      </x:c>
      <x:c r="F121" s="6" t="str">
        <x:v>deg/s</x:v>
      </x:c>
      <x:c r="G121" s="6" t="str">
        <x:v>Derived</x:v>
      </x:c>
      <x:c r="H121" s="6" t="str">
        <x:v>g sqrt(n²-1) / TAS</x:v>
      </x:c>
      <x:c r="I121" s="6" t="str">
        <x:v>Physical model, calibrated to original flight observations</x:v>
      </x:c>
      <x:c r="J121" s="6" t="str">
        <x:v>Derived</x:v>
      </x:c>
      <x:c r="K121" s="6" t="str"/>
      <x:c r="L121" s="6" t="str">
        <x:v>P0</x:v>
      </x:c>
      <x:c r="M121" s="6" t="str"/>
    </x:row>
    <x:row r="122">
      <x:c r="B122" s="6" t="str">
        <x:v>3 Maneuverability</x:v>
      </x:c>
      <x:c r="C122" s="6" t="str">
        <x:v>Envelope</x:v>
      </x:c>
      <x:c r="D122" s="6" t="str">
        <x:v>turn_rate_sustain</x:v>
      </x:c>
      <x:c r="E122" s="6" t="str">
        <x:v>Sustained turn rate</x:v>
      </x:c>
      <x:c r="F122" s="6" t="str">
        <x:v>deg/s</x:v>
      </x:c>
      <x:c r="G122" s="6" t="str">
        <x:v>Derived</x:v>
      </x:c>
      <x:c r="H122" s="6" t="str">
        <x:v>Same at sustained n</x:v>
      </x:c>
      <x:c r="I122" s="6" t="str">
        <x:v>Physical model, calibrated to original flight observations</x:v>
      </x:c>
      <x:c r="J122" s="6" t="str">
        <x:v>Derived</x:v>
      </x:c>
      <x:c r="K122" s="6" t="str"/>
      <x:c r="L122" s="6" t="str">
        <x:v>P0</x:v>
      </x:c>
      <x:c r="M122" s="6" t="str"/>
    </x:row>
    <x:row r="123">
      <x:c r="B123" s="6" t="str">
        <x:v>3 Maneuverability</x:v>
      </x:c>
      <x:c r="C123" s="6" t="str">
        <x:v>Envelope</x:v>
      </x:c>
      <x:c r="D123" s="6" t="str">
        <x:v>turn_radius_instant</x:v>
      </x:c>
      <x:c r="E123" s="6" t="str">
        <x:v>Instantaneous turn radius</x:v>
      </x:c>
      <x:c r="F123" s="6" t="str">
        <x:v>m</x:v>
      </x:c>
      <x:c r="G123" s="6" t="str">
        <x:v>Derived</x:v>
      </x:c>
      <x:c r="H123" s="6" t="str">
        <x:v>V²/(g sqrt(n²-1))</x:v>
      </x:c>
      <x:c r="I123" s="6" t="str">
        <x:v>Physical model, calibrated to original flight observations</x:v>
      </x:c>
      <x:c r="J123" s="6" t="str">
        <x:v>Derived</x:v>
      </x:c>
      <x:c r="K123" s="6" t="str"/>
      <x:c r="L123" s="6" t="str">
        <x:v>P0</x:v>
      </x:c>
      <x:c r="M123" s="6" t="str"/>
    </x:row>
    <x:row r="124">
      <x:c r="B124" s="6" t="str">
        <x:v>3 Maneuverability</x:v>
      </x:c>
      <x:c r="C124" s="6" t="str">
        <x:v>Envelope</x:v>
      </x:c>
      <x:c r="D124" s="6" t="str">
        <x:v>turn_radius_sustain</x:v>
      </x:c>
      <x:c r="E124" s="6" t="str">
        <x:v>Sustained turn radius</x:v>
      </x:c>
      <x:c r="F124" s="6" t="str">
        <x:v>m</x:v>
      </x:c>
      <x:c r="G124" s="6" t="str">
        <x:v>Derived</x:v>
      </x:c>
      <x:c r="H124" s="6" t="str">
        <x:v>Same at sustained n</x:v>
      </x:c>
      <x:c r="I124" s="6" t="str">
        <x:v>Physical model, calibrated to original flight observations</x:v>
      </x:c>
      <x:c r="J124" s="6" t="str">
        <x:v>Derived</x:v>
      </x:c>
      <x:c r="K124" s="6" t="str"/>
      <x:c r="L124" s="6" t="str">
        <x:v>P0</x:v>
      </x:c>
      <x:c r="M124" s="6" t="str"/>
    </x:row>
    <x:row r="125">
      <x:c r="B125" s="6" t="str">
        <x:v>3 Maneuverability</x:v>
      </x:c>
      <x:c r="C125" s="6" t="str">
        <x:v>Envelope</x:v>
      </x:c>
      <x:c r="D125" s="6" t="str">
        <x:v>corner_speed</x:v>
      </x:c>
      <x:c r="E125" s="6" t="str">
        <x:v>Corner speed</x:v>
      </x:c>
      <x:c r="F125" s="6" t="str">
        <x:v>mph EAS</x:v>
      </x:c>
      <x:c r="G125" s="6" t="str">
        <x:v>Derived</x:v>
      </x:c>
      <x:c r="H125" s="6" t="str">
        <x:v>Best allowable instantaneous turn rate</x:v>
      </x:c>
      <x:c r="I125" s="6" t="str">
        <x:v>Physical model, calibrated to original flight observations</x:v>
      </x:c>
      <x:c r="J125" s="6" t="str">
        <x:v>Missing</x:v>
      </x:c>
      <x:c r="K125" s="6" t="str"/>
      <x:c r="L125" s="6" t="str">
        <x:v>P1</x:v>
      </x:c>
      <x:c r="M125" s="6" t="str">
        <x:v>Can derive once limits calibrated</x:v>
      </x:c>
    </x:row>
    <x:row r="126">
      <x:c r="B126" s="6" t="str">
        <x:v>3 Maneuverability</x:v>
      </x:c>
      <x:c r="C126" s="6" t="str">
        <x:v>Envelope</x:v>
      </x:c>
      <x:c r="D126" s="6" t="str">
        <x:v>roll_rate</x:v>
      </x:c>
      <x:c r="E126" s="6" t="str">
        <x:v>Roll rate versus IAS</x:v>
      </x:c>
      <x:c r="F126" s="6" t="str">
        <x:v>deg/s</x:v>
      </x:c>
      <x:c r="G126" s="6" t="str">
        <x:v>Raw/fit</x:v>
      </x:c>
      <x:c r="H126" s="6" t="str">
        <x:v>Control force and dynamic pressure effect</x:v>
      </x:c>
      <x:c r="I126" s="6" t="str">
        <x:v>USAAF flight-test or pilot/engineering manual</x:v>
      </x:c>
      <x:c r="J126" s="6" t="str">
        <x:v>Missing</x:v>
      </x:c>
      <x:c r="K126" s="6" t="str"/>
      <x:c r="L126" s="6" t="str">
        <x:v>P1</x:v>
      </x:c>
      <x:c r="M126" s="6" t="str">
        <x:v>Actual trials required</x:v>
      </x:c>
    </x:row>
    <x:row r="127">
      <x:c r="B127" s="6" t="str">
        <x:v>3 Maneuverability</x:v>
      </x:c>
      <x:c r="C127" s="6" t="str">
        <x:v>Envelope</x:v>
      </x:c>
      <x:c r="D127" s="6" t="str">
        <x:v>control_force</x:v>
      </x:c>
      <x:c r="E127" s="6" t="str">
        <x:v>Stick force per G / IAS</x:v>
      </x:c>
      <x:c r="F127" s="6" t="str">
        <x:v>lbf/G</x:v>
      </x:c>
      <x:c r="G127" s="6" t="str">
        <x:v>Raw/fit</x:v>
      </x:c>
      <x:c r="H127" s="6" t="str">
        <x:v>Can constrain maneuver before structural G</x:v>
      </x:c>
      <x:c r="I127" s="6" t="str">
        <x:v>NACA or original wind-tunnel / flight investigation</x:v>
      </x:c>
      <x:c r="J127" s="6" t="str">
        <x:v>Missing</x:v>
      </x:c>
      <x:c r="K127" s="6" t="str"/>
      <x:c r="L127" s="6" t="str">
        <x:v>P1</x:v>
      </x:c>
      <x:c r="M127" s="6" t="str">
        <x:v>NACA pilot handling data</x:v>
      </x:c>
    </x:row>
    <x:row r="128">
      <x:c r="B128" s="6" t="str">
        <x:v>3 Maneuverability</x:v>
      </x:c>
      <x:c r="C128" s="6" t="str">
        <x:v>Envelope</x:v>
      </x:c>
      <x:c r="D128" s="6" t="str">
        <x:v>mach_buffet</x:v>
      </x:c>
      <x:c r="E128" s="6" t="str">
        <x:v>High Mach buffet boundary</x:v>
      </x:c>
      <x:c r="F128" s="6" t="str">
        <x:v>Mach</x:v>
      </x:c>
      <x:c r="G128" s="6" t="str">
        <x:v>Raw/fit</x:v>
      </x:c>
      <x:c r="H128" s="6" t="str">
        <x:v>CL/Mach and aerodynamic changes</x:v>
      </x:c>
      <x:c r="I128" s="6" t="str">
        <x:v>NACA or original wind-tunnel / flight investigation</x:v>
      </x:c>
      <x:c r="J128" s="6" t="str">
        <x:v>Missing</x:v>
      </x:c>
      <x:c r="K128" s="6" t="str"/>
      <x:c r="L128" s="6" t="str">
        <x:v>P1</x:v>
      </x:c>
      <x:c r="M128" s="6" t="str">
        <x:v>NACA high-speed tests</x:v>
      </x:c>
    </x:row>
    <x:row r="129">
      <x:c r="B129" s="6" t="str">
        <x:v>3 Maneuverability</x:v>
      </x:c>
      <x:c r="C129" s="6" t="str">
        <x:v>Envelope</x:v>
      </x:c>
      <x:c r="D129" s="6" t="str">
        <x:v>energy_retention</x:v>
      </x:c>
      <x:c r="E129" s="6" t="str">
        <x:v>Energy loss in turn</x:v>
      </x:c>
      <x:c r="F129" s="6" t="str">
        <x:v>m/s or kJ/kg</x:v>
      </x:c>
      <x:c r="G129" s="6" t="str">
        <x:v>Derived</x:v>
      </x:c>
      <x:c r="H129" s="6" t="str">
        <x:v>Specific total energy change over maneuver</x:v>
      </x:c>
      <x:c r="I129" s="6" t="str">
        <x:v>Physical model, calibrated to original flight observations</x:v>
      </x:c>
      <x:c r="J129" s="6" t="str">
        <x:v>Derived</x:v>
      </x:c>
      <x:c r="K129" s="6" t="str"/>
      <x:c r="L129" s="6" t="str">
        <x:v>P1</x:v>
      </x:c>
      <x:c r="M129" s="6" t="str">
        <x:v>Need state integration</x:v>
      </x:c>
    </x:row>
    <x:row r="130">
      <x:c r="B130" s="6" t="str">
        <x:v>3 Maneuverability</x:v>
      </x:c>
      <x:c r="C130" s="6" t="str">
        <x:v>Envelope</x:v>
      </x:c>
      <x:c r="D130" s="6" t="str">
        <x:v>dive_limit</x:v>
      </x:c>
      <x:c r="E130" s="6" t="str">
        <x:v>Permissible dive limit</x:v>
      </x:c>
      <x:c r="F130" s="6" t="str">
        <x:v>IAS/Mach</x:v>
      </x:c>
      <x:c r="G130" s="6" t="str">
        <x:v>Raw</x:v>
      </x:c>
      <x:c r="H130" s="6" t="str">
        <x:v>Structural and control limits</x:v>
      </x:c>
      <x:c r="I130" s="6" t="str">
        <x:v>USAAF flight-test or pilot/engineering manual</x:v>
      </x:c>
      <x:c r="J130" s="6" t="str">
        <x:v>Partial</x:v>
      </x:c>
      <x:c r="K130" s="6" t="str">
        <x:v>Qualitative dives</x:v>
      </x:c>
      <x:c r="L130" s="6" t="str">
        <x:v>P0</x:v>
      </x:c>
      <x:c r="M130" s="6" t="str">
        <x:v>Need exact manual values</x:v>
      </x:c>
    </x:row>
    <x:row r="131">
      <x:c r="B131" s="6" t="str">
        <x:v>4 Operations</x:v>
      </x:c>
      <x:c r="C131" s="6" t="str">
        <x:v>Fuel</x:v>
      </x:c>
      <x:c r="D131" s="6" t="str">
        <x:v>fuel_remaining</x:v>
      </x:c>
      <x:c r="E131" s="6" t="str">
        <x:v>Fuel remaining</x:v>
      </x:c>
      <x:c r="F131" s="6" t="str">
        <x:v>US gal</x:v>
      </x:c>
      <x:c r="G131" s="6" t="str">
        <x:v>Scenario</x:v>
      </x:c>
      <x:c r="H131" s="6" t="str">
        <x:v>Tracks state over time</x:v>
      </x:c>
      <x:c r="I131" s="6" t="str">
        <x:v>USAAF flight-test or pilot/engineering manual</x:v>
      </x:c>
      <x:c r="J131" s="6" t="str">
        <x:v>Scenario</x:v>
      </x:c>
      <x:c r="K131" s="6" t="n">
        <x:v>265</x:v>
      </x:c>
      <x:c r="L131" s="6" t="str">
        <x:v>P0</x:v>
      </x:c>
      <x:c r="M131" s="6" t="str"/>
    </x:row>
    <x:row r="132">
      <x:c r="B132" s="6" t="str">
        <x:v>4 Operations</x:v>
      </x:c>
      <x:c r="C132" s="6" t="str">
        <x:v>Fuel</x:v>
      </x:c>
      <x:c r="D132" s="6" t="str">
        <x:v>fuel_flow</x:v>
      </x:c>
      <x:c r="E132" s="6" t="str">
        <x:v>Fuel consumption</x:v>
      </x:c>
      <x:c r="F132" s="6" t="str">
        <x:v>US gal/h</x:v>
      </x:c>
      <x:c r="G132" s="6" t="str">
        <x:v>Raw</x:v>
      </x:c>
      <x:c r="H132" s="6" t="str">
        <x:v>By mode/altitude/mixture</x:v>
      </x:c>
      <x:c r="I132" s="6" t="str">
        <x:v>Original engine or propeller manufacturer chart</x:v>
      </x:c>
      <x:c r="J132" s="6" t="str">
        <x:v>Missing</x:v>
      </x:c>
      <x:c r="K132" s="6" t="str"/>
      <x:c r="L132" s="6" t="str">
        <x:v>P0</x:v>
      </x:c>
      <x:c r="M132" s="6" t="str">
        <x:v>Do not invent</x:v>
      </x:c>
    </x:row>
    <x:row r="133">
      <x:c r="B133" s="6" t="str">
        <x:v>4 Operations</x:v>
      </x:c>
      <x:c r="C133" s="6" t="str">
        <x:v>Fuel</x:v>
      </x:c>
      <x:c r="D133" s="6" t="str">
        <x:v>mass_after_burn</x:v>
      </x:c>
      <x:c r="E133" s="6" t="str">
        <x:v>Aircraft mass after burn</x:v>
      </x:c>
      <x:c r="F133" s="6" t="str">
        <x:v>lb</x:v>
      </x:c>
      <x:c r="G133" s="6" t="str">
        <x:v>Derived</x:v>
      </x:c>
      <x:c r="H133" s="6" t="str">
        <x:v>Previous mass minus fuel used</x:v>
      </x:c>
      <x:c r="I133" s="6" t="str">
        <x:v>Physical model, calibrated to original flight observations</x:v>
      </x:c>
      <x:c r="J133" s="6" t="str">
        <x:v>Derived</x:v>
      </x:c>
      <x:c r="K133" s="6" t="str"/>
      <x:c r="L133" s="6" t="str">
        <x:v>P0</x:v>
      </x:c>
      <x:c r="M133" s="6" t="str">
        <x:v>Reference only uses assumed 6 lb/US gal</x:v>
      </x:c>
    </x:row>
    <x:row r="134">
      <x:c r="B134" s="6" t="str">
        <x:v>4 Operations</x:v>
      </x:c>
      <x:c r="C134" s="6" t="str">
        <x:v>Fuel</x:v>
      </x:c>
      <x:c r="D134" s="6" t="str">
        <x:v>fuel_distribution</x:v>
      </x:c>
      <x:c r="E134" s="6" t="str">
        <x:v>Fuel tank distribution</x:v>
      </x:c>
      <x:c r="F134" s="6" t="str">
        <x:v>US gal</x:v>
      </x:c>
      <x:c r="G134" s="6" t="str">
        <x:v>Raw/Scenario</x:v>
      </x:c>
      <x:c r="H134" s="6" t="str">
        <x:v>Changes CG and usable fuel</x:v>
      </x:c>
      <x:c r="I134" s="6" t="str">
        <x:v>USAAF flight-test or pilot/engineering manual</x:v>
      </x:c>
      <x:c r="J134" s="6" t="str">
        <x:v>Partial</x:v>
      </x:c>
      <x:c r="K134" s="6" t="str">
        <x:v>265 total</x:v>
      </x:c>
      <x:c r="L134" s="6" t="str">
        <x:v>P1</x:v>
      </x:c>
      <x:c r="M134" s="6" t="str">
        <x:v>Tank details</x:v>
      </x:c>
    </x:row>
    <x:row r="135">
      <x:c r="B135" s="6" t="str">
        <x:v>4 Operations</x:v>
      </x:c>
      <x:c r="C135" s="6" t="str">
        <x:v>Fuel</x:v>
      </x:c>
      <x:c r="D135" s="6" t="str">
        <x:v>range</x:v>
      </x:c>
      <x:c r="E135" s="6" t="str">
        <x:v>Range</x:v>
      </x:c>
      <x:c r="F135" s="6" t="str">
        <x:v>mi</x:v>
      </x:c>
      <x:c r="G135" s="6" t="str">
        <x:v>Derived</x:v>
      </x:c>
      <x:c r="H135" s="6" t="str">
        <x:v>Integrate fuel-flow and airspeed</x:v>
      </x:c>
      <x:c r="I135" s="6" t="str">
        <x:v>Physical model, calibrated to original flight observations</x:v>
      </x:c>
      <x:c r="J135" s="6" t="str">
        <x:v>Missing</x:v>
      </x:c>
      <x:c r="K135" s="6" t="str"/>
      <x:c r="L135" s="6" t="str">
        <x:v>P1</x:v>
      </x:c>
      <x:c r="M135" s="6" t="str">
        <x:v>Fuel-flow map first</x:v>
      </x:c>
    </x:row>
    <x:row r="136">
      <x:c r="B136" s="6" t="str">
        <x:v>4 Operations</x:v>
      </x:c>
      <x:c r="C136" s="6" t="str">
        <x:v>Fuel</x:v>
      </x:c>
      <x:c r="D136" s="6" t="str">
        <x:v>endurance</x:v>
      </x:c>
      <x:c r="E136" s="6" t="str">
        <x:v>Time aloft</x:v>
      </x:c>
      <x:c r="F136" s="6" t="str">
        <x:v>h</x:v>
      </x:c>
      <x:c r="G136" s="6" t="str">
        <x:v>Derived</x:v>
      </x:c>
      <x:c r="H136" s="6" t="str">
        <x:v>Integrate usable fuel divided by flow</x:v>
      </x:c>
      <x:c r="I136" s="6" t="str">
        <x:v>Physical model, calibrated to original flight observations</x:v>
      </x:c>
      <x:c r="J136" s="6" t="str">
        <x:v>Missing</x:v>
      </x:c>
      <x:c r="K136" s="6" t="str"/>
      <x:c r="L136" s="6" t="str">
        <x:v>P1</x:v>
      </x:c>
      <x:c r="M136" s="6" t="str">
        <x:v>Fuel-flow map first</x:v>
      </x:c>
    </x:row>
    <x:row r="137">
      <x:c r="B137" s="6" t="str">
        <x:v>4 Operations</x:v>
      </x:c>
      <x:c r="C137" s="6" t="str">
        <x:v>Boost</x:v>
      </x:c>
      <x:c r="D137" s="6" t="str">
        <x:v>emergency_time_left</x:v>
      </x:c>
      <x:c r="E137" s="6" t="str">
        <x:v>Emergency power remaining</x:v>
      </x:c>
      <x:c r="F137" s="6" t="str">
        <x:v>min</x:v>
      </x:c>
      <x:c r="G137" s="6" t="str">
        <x:v>State</x:v>
      </x:c>
      <x:c r="H137" s="6" t="str">
        <x:v>Historical max minus elapsed use</x:v>
      </x:c>
      <x:c r="I137" s="6" t="str">
        <x:v>USAAF flight-test or pilot/engineering manual</x:v>
      </x:c>
      <x:c r="J137" s="6" t="str">
        <x:v>Missing</x:v>
      </x:c>
      <x:c r="K137" s="6" t="str"/>
      <x:c r="L137" s="6" t="str">
        <x:v>P0</x:v>
      </x:c>
      <x:c r="M137" s="6" t="str">
        <x:v>Historical limit needed</x:v>
      </x:c>
    </x:row>
    <x:row r="138">
      <x:c r="B138" s="6" t="str">
        <x:v>4 Operations</x:v>
      </x:c>
      <x:c r="C138" s="6" t="str">
        <x:v>Boost</x:v>
      </x:c>
      <x:c r="D138" s="6" t="str">
        <x:v>injection_state</x:v>
      </x:c>
      <x:c r="E138" s="6" t="str">
        <x:v>Water/methanol supply</x:v>
      </x:c>
      <x:c r="F138" s="6" t="str">
        <x:v>quantity</x:v>
      </x:c>
      <x:c r="G138" s="6" t="str">
        <x:v>State</x:v>
      </x:c>
      <x:c r="H138" s="6" t="str">
        <x:v>Only for aircraft fitted</x:v>
      </x:c>
      <x:c r="I138" s="6" t="str">
        <x:v>USAAF flight-test or pilot/engineering manual</x:v>
      </x:c>
      <x:c r="J138" s="6" t="str">
        <x:v>N/A</x:v>
      </x:c>
      <x:c r="K138" s="6" t="str">
        <x:v>None on this reference</x:v>
      </x:c>
      <x:c r="L138" s="6" t="str">
        <x:v>P1</x:v>
      </x:c>
      <x:c r="M138" s="6" t="str">
        <x:v>Variant-specific</x:v>
      </x:c>
    </x:row>
    <x:row r="139">
      <x:c r="B139" s="6" t="str">
        <x:v>4 Operations</x:v>
      </x:c>
      <x:c r="C139" s="6" t="str">
        <x:v>Boost</x:v>
      </x:c>
      <x:c r="D139" s="6" t="str">
        <x:v>cooling_state</x:v>
      </x:c>
      <x:c r="E139" s="6" t="str">
        <x:v>Coolant/oil thermal state</x:v>
      </x:c>
      <x:c r="F139" s="6" t="str">
        <x:v>°C</x:v>
      </x:c>
      <x:c r="G139" s="6" t="str">
        <x:v>State</x:v>
      </x:c>
      <x:c r="H139" s="6" t="str">
        <x:v>Engine thermal model</x:v>
      </x:c>
      <x:c r="I139" s="6" t="str">
        <x:v>USAAF flight-test or pilot/engineering manual</x:v>
      </x:c>
      <x:c r="J139" s="6" t="str">
        <x:v>Missing</x:v>
      </x:c>
      <x:c r="K139" s="6" t="str"/>
      <x:c r="L139" s="6" t="str">
        <x:v>P1</x:v>
      </x:c>
      <x:c r="M139" s="6" t="str">
        <x:v>Dynamic radiator</x:v>
      </x:c>
    </x:row>
    <x:row r="140">
      <x:c r="B140" s="6" t="str">
        <x:v>4 Operations</x:v>
      </x:c>
      <x:c r="C140" s="6" t="str">
        <x:v>Stores</x:v>
      </x:c>
      <x:c r="D140" s="6" t="str">
        <x:v>ammunition_remaining</x:v>
      </x:c>
      <x:c r="E140" s="6" t="str">
        <x:v>Rounds remaining</x:v>
      </x:c>
      <x:c r="F140" s="6" t="str">
        <x:v>count</x:v>
      </x:c>
      <x:c r="G140" s="6" t="str">
        <x:v>State</x:v>
      </x:c>
      <x:c r="H140" s="6" t="str">
        <x:v>Changes mass and combat effectiveness</x:v>
      </x:c>
      <x:c r="I140" s="6" t="str">
        <x:v>USAAF flight-test or pilot/engineering manual</x:v>
      </x:c>
      <x:c r="J140" s="6" t="str">
        <x:v>Partial</x:v>
      </x:c>
      <x:c r="K140" s="6" t="str">
        <x:v>1260 at combat load</x:v>
      </x:c>
      <x:c r="L140" s="6" t="str">
        <x:v>P1</x:v>
      </x:c>
      <x:c r="M140" s="6" t="str">
        <x:v>Test config differences</x:v>
      </x:c>
    </x:row>
    <x:row r="141">
      <x:c r="B141" s="6" t="str">
        <x:v>4 Operations</x:v>
      </x:c>
      <x:c r="C141" s="6" t="str">
        <x:v>Stores</x:v>
      </x:c>
      <x:c r="D141" s="6" t="str">
        <x:v>store_configuration</x:v>
      </x:c>
      <x:c r="E141" s="6" t="str">
        <x:v>Tanks/bombs/racks</x:v>
      </x:c>
      <x:c r="F141" s="6" t="str">
        <x:v>enum</x:v>
      </x:c>
      <x:c r="G141" s="6" t="str">
        <x:v>State</x:v>
      </x:c>
      <x:c r="H141" s="6" t="str">
        <x:v>Mass and Cd modifier</x:v>
      </x:c>
      <x:c r="I141" s="6" t="str">
        <x:v>USAAF flight-test or pilot/engineering manual</x:v>
      </x:c>
      <x:c r="J141" s="6" t="str">
        <x:v>Partial</x:v>
      </x:c>
      <x:c r="K141" s="6" t="str">
        <x:v>Wing racks</x:v>
      </x:c>
      <x:c r="L141" s="6" t="str">
        <x:v>P0</x:v>
      </x:c>
      <x:c r="M141" s="6" t="str">
        <x:v>Specific store drag curves</x:v>
      </x:c>
    </x:row>
    <x:row r="142">
      <x:c r="B142" s="6" t="str">
        <x:v>4 Operations</x:v>
      </x:c>
      <x:c r="C142" s="6" t="str">
        <x:v>Stores</x:v>
      </x:c>
      <x:c r="D142" s="6" t="str">
        <x:v>jettison_change</x:v>
      </x:c>
      <x:c r="E142" s="6" t="str">
        <x:v>Jettison mass and drag delta</x:v>
      </x:c>
      <x:c r="F142" s="6" t="str">
        <x:v>lb/CD</x:v>
      </x:c>
      <x:c r="G142" s="6" t="str">
        <x:v>Derived</x:v>
      </x:c>
      <x:c r="H142" s="6" t="str">
        <x:v>Recalculate after store release</x:v>
      </x:c>
      <x:c r="I142" s="6" t="str">
        <x:v>Physical model, calibrated to original flight observations</x:v>
      </x:c>
      <x:c r="J142" s="6" t="str">
        <x:v>Missing</x:v>
      </x:c>
      <x:c r="K142" s="6" t="str"/>
      <x:c r="L142" s="6" t="str">
        <x:v>P1</x:v>
      </x:c>
      <x:c r="M142" s="6" t="str">
        <x:v>Store data</x:v>
      </x:c>
    </x:row>
    <x:row r="143">
      <x:c r="B143" s="6" t="str">
        <x:v>4 Operations</x:v>
      </x:c>
      <x:c r="C143" s="6" t="str">
        <x:v>Environment</x:v>
      </x:c>
      <x:c r="D143" s="6" t="str">
        <x:v>weather_profile</x:v>
      </x:c>
      <x:c r="E143" s="6" t="str">
        <x:v>Actual pressure/temperature/wind</x:v>
      </x:c>
      <x:c r="F143" s="6" t="str">
        <x:v>profile</x:v>
      </x:c>
      <x:c r="G143" s="6" t="str">
        <x:v>Scenario</x:v>
      </x:c>
      <x:c r="H143" s="6" t="str">
        <x:v>Deviations from ISA affect both airframe/engine</x:v>
      </x:c>
      <x:c r="I143" s="6" t="str">
        <x:v>USAAF flight-test or pilot/engineering manual</x:v>
      </x:c>
      <x:c r="J143" s="6" t="str">
        <x:v>Missing</x:v>
      </x:c>
      <x:c r="K143" s="6" t="str"/>
      <x:c r="L143" s="6" t="str">
        <x:v>P2</x:v>
      </x:c>
      <x:c r="M143" s="6" t="str">
        <x:v>Not essential for baseline</x:v>
      </x:c>
    </x:row>
    <x:row r="144">
      <x:c r="B144" s="6" t="str">
        <x:v>4 Operations</x:v>
      </x:c>
      <x:c r="C144" s="6" t="str">
        <x:v>Engine</x:v>
      </x:c>
      <x:c r="D144" s="6" t="str">
        <x:v>power_eligibility</x:v>
      </x:c>
      <x:c r="E144" s="6" t="str">
        <x:v>Historically allowed boost setting</x:v>
      </x:c>
      <x:c r="F144" s="6" t="str">
        <x:v>boolean</x:v>
      </x:c>
      <x:c r="G144" s="6" t="str">
        <x:v>Derived</x:v>
      </x:c>
      <x:c r="H144" s="6" t="str">
        <x:v>Rating, fuel, date and theatre combination</x:v>
      </x:c>
      <x:c r="I144" s="6" t="str">
        <x:v>USAAF flight-test or pilot/engineering manual</x:v>
      </x:c>
      <x:c r="J144" s="6" t="str">
        <x:v>Partial</x:v>
      </x:c>
      <x:c r="K144" s="6" t="str">
        <x:v>75 test/proposed</x:v>
      </x:c>
      <x:c r="L144" s="6" t="str">
        <x:v>P0</x:v>
      </x:c>
      <x:c r="M144" s="6" t="str">
        <x:v>Requires authorization evidence</x:v>
      </x:c>
    </x:row>
    <x:row r="145">
      <x:c r="B145" s="6" t="str">
        <x:v>4 Operations</x:v>
      </x:c>
      <x:c r="C145" s="6" t="str">
        <x:v>Combat</x:v>
      </x:c>
      <x:c r="D145" s="6" t="str">
        <x:v>weapons_muzzle</x:v>
      </x:c>
      <x:c r="E145" s="6" t="str">
        <x:v>Muzzle velocity / ballistic</x:v>
      </x:c>
      <x:c r="F145" s="6" t="str">
        <x:v>m/s</x:v>
      </x:c>
      <x:c r="G145" s="6" t="str">
        <x:v>Raw</x:v>
      </x:c>
      <x:c r="H145" s="6" t="str">
        <x:v>Only later combat model</x:v>
      </x:c>
      <x:c r="I145" s="6" t="str">
        <x:v>USAAF flight-test or pilot/engineering manual</x:v>
      </x:c>
      <x:c r="J145" s="6" t="str">
        <x:v>Missing</x:v>
      </x:c>
      <x:c r="K145" s="6" t="str"/>
      <x:c r="L145" s="6" t="str">
        <x:v>P2</x:v>
      </x:c>
      <x:c r="M145" s="6" t="str">
        <x:v>Separate ballistic source</x:v>
      </x:c>
    </x:row>
    <x:row r="146">
      <x:c r="B146" s="6" t="str">
        <x:v>4 Operations</x:v>
      </x:c>
      <x:c r="C146" s="6" t="str">
        <x:v>Combat</x:v>
      </x:c>
      <x:c r="D146" s="6" t="str">
        <x:v>combat_damage</x:v>
      </x:c>
      <x:c r="E146" s="6" t="str">
        <x:v>Damage/armor effects</x:v>
      </x:c>
      <x:c r="F146" s="6" t="str">
        <x:v>structured</x:v>
      </x:c>
      <x:c r="G146" s="6" t="str">
        <x:v>Raw/model</x:v>
      </x:c>
      <x:c r="H146" s="6" t="str">
        <x:v>Separate subsystem, not current aero assumption</x:v>
      </x:c>
      <x:c r="I146" s="6" t="str">
        <x:v>USAAF flight-test or pilot/engineering manual</x:v>
      </x:c>
      <x:c r="J146" s="6" t="str">
        <x:v>Missing</x:v>
      </x:c>
      <x:c r="K146" s="6" t="str"/>
      <x:c r="L146" s="6" t="str">
        <x:v>P2</x:v>
      </x:c>
      <x:c r="M146" s="6" t="str">
        <x:v>Deferred</x:v>
      </x:c>
    </x:row>
  </x:sheetData>
  <x:pageMargins left="0.7" right="0.7" top="0.75" bottom="0.75" header="0.3" footer="0.3"/>
  <x:tableParts count="1">
    <x:tablePart xmlns:r="http://schemas.openxmlformats.org/officeDocument/2006/relationships" r:id="Rd5b0611aeb234dad"/>
  </x:tableParts>
</x:worksheet>
</file>

<file path=xl/worksheets/sheet2.xml><?xml version="1.0" encoding="utf-8"?>
<x:worksheet xmlns:x="http://schemas.openxmlformats.org/spreadsheetml/2006/main">
  <x:sheetPr>
    <x:tabColor rgb="FF234F70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26" hidden="0" customWidth="1"/>
    <x:col min="47" max="47" width="56" hidden="0" customWidth="1"/>
  </x:cols>
  <x:sheetData>
    <x:row r="2">
      <x:c r="B2" s="1" t="str">
        <x:v>Complete Greg-style multi-speed calculation table</x:v>
      </x:c>
    </x:row>
    <x:row r="3">
      <x:c r="B3" s="2" t="str">
        <x:v>P-51B-15 43-24777. Each row is a selected altitude + TAS + rating. D-grade drag/prop coefficients; NOT measured aerodynamic forces.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B4" s="5" t="str">
        <x:v>Altitude ft</x:v>
      </x:c>
      <x:c r="C4" s="5" t="str">
        <x:v>TAS mph</x:v>
      </x:c>
      <x:c r="D4" s="5" t="str">
        <x:v>Rating</x:v>
      </x:c>
      <x:c r="E4" s="5" t="str">
        <x:v>Gear</x:v>
      </x:c>
      <x:c r="F4" s="5" t="str">
        <x:v>BHP</x:v>
      </x:c>
      <x:c r="G4" s="5" t="str">
        <x:v>Weight lb</x:v>
      </x:c>
      <x:c r="H4" s="5" t="str">
        <x:v>Density kg/m³</x:v>
      </x:c>
      <x:c r="I4" s="5" t="str">
        <x:v>EAS mph</x:v>
      </x:c>
      <x:c r="J4" s="5" t="str">
        <x:v>Mach</x:v>
      </x:c>
      <x:c r="K4" s="5" t="str">
        <x:v>q Pa</x:v>
      </x:c>
      <x:c r="L4" s="5" t="str">
        <x:v>Wing S m²</x:v>
      </x:c>
      <x:c r="M4" s="5" t="str">
        <x:v>Aspect ratio</x:v>
      </x:c>
      <x:c r="N4" s="5" t="str">
        <x:v>Induced k</x:v>
      </x:c>
      <x:c r="O4" s="5" t="str">
        <x:v>Wing loading lb/ft²</x:v>
      </x:c>
      <x:c r="P4" s="5" t="str">
        <x:v>Shaft hp/lb</x:v>
      </x:c>
      <x:c r="Q4" s="5" t="str">
        <x:v>CL (1g)</x:v>
      </x:c>
      <x:c r="R4" s="5" t="str">
        <x:v>CD0</x:v>
      </x:c>
      <x:c r="S4" s="5" t="str">
        <x:v>CD induced</x:v>
      </x:c>
      <x:c r="T4" s="5" t="str">
        <x:v>CD wave</x:v>
      </x:c>
      <x:c r="U4" s="5" t="str">
        <x:v>CD total</x:v>
      </x:c>
      <x:c r="V4" s="5" t="str">
        <x:v>Parasite drag lbf</x:v>
      </x:c>
      <x:c r="W4" s="5" t="str">
        <x:v>Induced drag lbf</x:v>
      </x:c>
      <x:c r="X4" s="5" t="str">
        <x:v>Other drag lbf</x:v>
      </x:c>
      <x:c r="Y4" s="5" t="str">
        <x:v>Total drag lbf</x:v>
      </x:c>
      <x:c r="Z4" s="5" t="str">
        <x:v>Parasite %</x:v>
      </x:c>
      <x:c r="AA4" s="5" t="str">
        <x:v>Induced %</x:v>
      </x:c>
      <x:c r="AB4" s="5" t="str">
        <x:v>Lift/drag</x:v>
      </x:c>
      <x:c r="AC4" s="5" t="str">
        <x:v>Prop eta</x:v>
      </x:c>
      <x:c r="AD4" s="5" t="str">
        <x:v>Shaft HP avail</x:v>
      </x:c>
      <x:c r="AE4" s="5" t="str">
        <x:v>Useful HP avail</x:v>
      </x:c>
      <x:c r="AF4" s="5" t="str">
        <x:v>Useful HP required</x:v>
      </x:c>
      <x:c r="AG4" s="5" t="str">
        <x:v>Shaft HP required</x:v>
      </x:c>
      <x:c r="AH4" s="5" t="str">
        <x:v>Excess useful HP</x:v>
      </x:c>
      <x:c r="AI4" s="5" t="str">
        <x:v>Ps m/s</x:v>
      </x:c>
      <x:c r="AJ4" s="5" t="str">
        <x:v>ROC ft/min</x:v>
      </x:c>
      <x:c r="AK4" s="5" t="str">
        <x:v>Accel m/s²</x:v>
      </x:c>
      <x:c r="AL4" s="5" t="str">
        <x:v>Stall EAS mph</x:v>
      </x:c>
      <x:c r="AM4" s="5" t="str">
        <x:v>Max instant G</x:v>
      </x:c>
      <x:c r="AN4" s="5" t="str">
        <x:v>Max sustained G</x:v>
      </x:c>
      <x:c r="AO4" s="5" t="str">
        <x:v>Instant deg/s</x:v>
      </x:c>
      <x:c r="AP4" s="5" t="str">
        <x:v>Sustained deg/s</x:v>
      </x:c>
      <x:c r="AQ4" s="5" t="str">
        <x:v>Instant radius m</x:v>
      </x:c>
      <x:c r="AR4" s="5" t="str">
        <x:v>Sustained radius m</x:v>
      </x:c>
      <x:c r="AS4" s="5" t="str">
        <x:v>Stall status</x:v>
      </x:c>
      <x:c r="AT4" s="5" t="str">
        <x:v>Quality</x:v>
      </x:c>
      <x:c r="AU4" s="5" t="str">
        <x:v>Caveat</x:v>
      </x:c>
    </x:row>
    <x:row r="5">
      <x:c r="B5" s="10" t="n">
        <x:v>0</x:v>
      </x:c>
      <x:c r="C5" s="10" t="n">
        <x:v>130</x:v>
      </x:c>
      <x:c r="D5" s="6" t="str">
        <x:v>67inHg</x:v>
      </x:c>
      <x:c r="E5" s="6" t="str">
        <x:v>low</x:v>
      </x:c>
      <x:c r="F5" s="6" t="n">
        <x:v>1580</x:v>
      </x:c>
      <x:c r="G5" s="6" t="n">
        <x:f>'Assumptions'!$C$5</x:f>
        <x:v>9240</x:v>
      </x:c>
      <x:c r="H5" s="11" t="n">
        <x:f>(101325*((288.15-0.0065*B5*0.3048)/288.15)^5.2558797)/(287.05287*(288.15-0.0065*B5*0.3048))</x:f>
        <x:v>1.225000018124288</x:v>
      </x:c>
      <x:c r="I5" s="11" t="n">
        <x:f>C5*SQRT(H5/1.225)</x:f>
        <x:v>130.0000009616969</x:v>
      </x:c>
      <x:c r="J5" s="11" t="n">
        <x:f>C5*0.44704/SQRT(1.4*287.05287*(288.15-0.0065*B5*0.3048))</x:f>
        <x:v>0.17077939089404232</x:v>
      </x:c>
      <x:c r="K5" s="12" t="n">
        <x:f>0.5*H5*(C5*0.44704)^2</x:f>
        <x:v>2068.643119118272</x:v>
      </x:c>
      <x:c r="L5" s="11" t="n">
        <x:f>'Assumptions'!$C$6*0.09290304</x:f>
        <x:v>21.646408320000003</x:v>
      </x:c>
      <x:c r="M5" s="11" t="n">
        <x:f>('Assumptions'!$C$7*0.3048)^2/L5</x:f>
        <x:v>5.875536480686696</x:v>
      </x:c>
      <x:c r="N5" s="11" t="n">
        <x:f>1/(PI()*M5*'Assumptions'!$C$9)</x:f>
        <x:v>0.06771932385027686</x:v>
      </x:c>
      <x:c r="O5" s="13" t="n">
        <x:f>G5/'Assumptions'!$C$6</x:f>
        <x:v>39.65665236051502</x:v>
      </x:c>
      <x:c r="P5" s="14" t="n">
        <x:f>F5/G5</x:f>
        <x:v>0.170995670995671</x:v>
      </x:c>
      <x:c r="Q5" s="15" t="n">
        <x:f>G5*4.4482216153/(K5*L5)</x:f>
        <x:v>0.9178822426077965</x:v>
      </x:c>
      <x:c r="R5" s="15" t="n">
        <x:f>'Assumptions'!$C$8+'Assumptions'!$C$13</x:f>
        <x:v>0.016</x:v>
      </x:c>
      <x:c r="S5" s="15" t="n">
        <x:f>N5*Q5^2</x:f>
        <x:v>0.05705405931945494</x:v>
      </x:c>
      <x:c r="T5" s="15" t="n">
        <x:f>'Assumptions'!$C$14</x:f>
        <x:v>0</x:v>
      </x:c>
      <x:c r="U5" s="15" t="n">
        <x:f>SUM(R5:T5)</x:f>
        <x:v>0.07305405931945494</x:v>
      </x:c>
      <x:c r="V5" s="16" t="n">
        <x:f>K5*L5*R5/4.4482216153</x:f>
        <x:v>161.06641259337533</x:v>
      </x:c>
      <x:c r="W5" s="16" t="n">
        <x:f>K5*L5*S5/4.4482216153</x:f>
        <x:v>574.34329115464</x:v>
      </x:c>
      <x:c r="X5" s="16" t="n">
        <x:f>K5*L5*T5/4.4482216153</x:f>
        <x:v>0</x:v>
      </x:c>
      <x:c r="Y5" s="16" t="n">
        <x:f>SUM(V5:X5)</x:f>
        <x:v>735.4097037480153</x:v>
      </x:c>
      <x:c r="Z5" s="9" t="n">
        <x:f>V5/Y5</x:f>
        <x:v>0.2190158924644323</x:v>
      </x:c>
      <x:c r="AA5" s="9" t="n">
        <x:f>W5/Y5</x:f>
        <x:v>0.7809841075355678</x:v>
      </x:c>
      <x:c r="AB5" s="13" t="n">
        <x:f>G5/Y5</x:f>
        <x:v>12.56442490887507</x:v>
      </x:c>
      <x:c r="AC5" s="11" t="n">
        <x:f>'Assumptions'!$C$10</x:f>
        <x:v>0.8</x:v>
      </x:c>
      <x:c r="AD5" s="16" t="n">
        <x:f>F5</x:f>
        <x:v>1580</x:v>
      </x:c>
      <x:c r="AE5" s="16" t="n">
        <x:f>AD5*AC5</x:f>
        <x:v>1264</x:v>
      </x:c>
      <x:c r="AF5" s="16" t="n">
        <x:f>Y5*4.4482216153*(C5*0.44704)/745.6998716</x:f>
        <x:v>254.94203062884765</x:v>
      </x:c>
      <x:c r="AG5" s="16" t="n">
        <x:f>AF5/AC5</x:f>
        <x:v>318.67753828605953</x:v>
      </x:c>
      <x:c r="AH5" s="16" t="n">
        <x:f>AE5-AF5</x:f>
        <x:v>1009.0579693711524</x:v>
      </x:c>
      <x:c r="AI5" s="16" t="n">
        <x:f>AH5*745.6998716/(G5*4.4482216153)</x:f>
        <x:v>18.307194587435042</x:v>
      </x:c>
      <x:c r="AJ5" s="16" t="n">
        <x:f>AI5*196.8503937</x:f>
        <x:v>3603.778462079097</x:v>
      </x:c>
      <x:c r="AK5" s="16" t="n">
        <x:f>AH5*745.6998716/(G5*0.45359237*C5*0.44704)</x:f>
        <x:v>3.089247732133144</x:v>
      </x:c>
      <x:c r="AL5" s="16" t="n">
        <x:f>SQRT(2*G5*4.4482216153/(1.225*L5*'Assumptions'!$C$11))/0.44704</x:f>
        <x:v>98.46385799361909</x:v>
      </x:c>
      <x:c r="AM5" s="16" t="n">
        <x:f>MIN('Assumptions'!$C$12,'Assumptions'!$C$11*K5*L5/(G5*4.4482216153))</x:f>
        <x:v>1.7431429934347982</x:v>
      </x:c>
      <x:c r="AN5" s="16" t="n">
        <x:f>IF(AE5*745.6998716/(C5*0.44704)-(V5+X5)*4.4482216153&lt;W5*4.4482216153,"n.a.",MIN(AM5,SQRT((AE5*745.6998716/(C5*0.44704)-(V5+X5)*4.4482216153)/(W5*4.4482216153))))</x:f>
        <x:v>1.7431429934347982</x:v>
      </x:c>
      <x:c r="AO5" s="16" t="n">
        <x:f>IF(AM5&gt;1,9.80665*SQRT(AM5^2-1)/(C5*0.44704)*180/PI(),"n.a.")</x:f>
        <x:v>13.80428726947774</x:v>
      </x:c>
      <x:c r="AP5" s="16" t="n">
        <x:f>IF(ISNUMBER(AN5),IF(AN5&gt;1,9.80665*SQRT(AN5^2-1)/(C5*0.44704)*180/PI(),"n.a."),"n.a.")</x:f>
        <x:v>13.80428726947774</x:v>
      </x:c>
      <x:c r="AQ5" s="16" t="n">
        <x:f>IF(AM5&gt;1,(C5*0.44704)^2/(9.80665*SQRT(AM5^2-1)),"n.a.")</x:f>
        <x:v>241.21170622991946</x:v>
      </x:c>
      <x:c r="AR5" s="16" t="n">
        <x:f>IF(ISNUMBER(AN5),IF(AN5&gt;1,(C5*0.44704)^2/(9.80665*SQRT(AN5^2-1)),"n.a."),"n.a.")</x:f>
        <x:v>241.21170622991946</x:v>
      </x:c>
      <x:c r="AS5" s="6" t="str">
        <x:f>IF(I5&gt;=AL5,"Within modeled CLmax","Below modeled stall")</x:f>
        <x:v>Within modeled CLmax</x:v>
      </x:c>
      <x:c r="AT5" s="6" t="str">
        <x:v>D: aero and eta estimated</x:v>
      </x:c>
      <x:c r="AU5" s="6" t="str">
        <x:v>Fixed BHP node snapshot; no source-backed 6G/CLmax/eta map</x:v>
      </x:c>
    </x:row>
    <x:row r="6">
      <x:c r="B6" s="10" t="n">
        <x:v>0</x:v>
      </x:c>
      <x:c r="C6" s="10" t="n">
        <x:v>160</x:v>
      </x:c>
      <x:c r="D6" s="6" t="str">
        <x:v>67inHg</x:v>
      </x:c>
      <x:c r="E6" s="6" t="str">
        <x:v>low</x:v>
      </x:c>
      <x:c r="F6" s="6" t="n">
        <x:v>1580</x:v>
      </x:c>
      <x:c r="G6" s="6" t="n">
        <x:f>'Assumptions'!$C$5</x:f>
        <x:v>9240</x:v>
      </x:c>
      <x:c r="H6" s="11" t="n">
        <x:f>(101325*((288.15-0.0065*B6*0.3048)/288.15)^5.2558797)/(287.05287*(288.15-0.0065*B6*0.3048))</x:f>
        <x:v>1.225000018124288</x:v>
      </x:c>
      <x:c r="I6" s="11" t="n">
        <x:f>C6*SQRT(H6/1.225)</x:f>
        <x:v>160.00000118362695</x:v>
      </x:c>
      <x:c r="J6" s="11" t="n">
        <x:f>C6*0.44704/SQRT(1.4*287.05287*(288.15-0.0065*B6*0.3048))</x:f>
        <x:v>0.2101900195618982</x:v>
      </x:c>
      <x:c r="K6" s="12" t="n">
        <x:f>0.5*H6*(C6*0.44704)^2</x:f>
        <x:v>3133.5659082501625</x:v>
      </x:c>
      <x:c r="L6" s="11" t="n">
        <x:f>'Assumptions'!$C$6*0.09290304</x:f>
        <x:v>21.646408320000003</x:v>
      </x:c>
      <x:c r="M6" s="11" t="n">
        <x:f>('Assumptions'!$C$7*0.3048)^2/L6</x:f>
        <x:v>5.875536480686696</x:v>
      </x:c>
      <x:c r="N6" s="11" t="n">
        <x:f>1/(PI()*M6*'Assumptions'!$C$9)</x:f>
        <x:v>0.06771932385027686</x:v>
      </x:c>
      <x:c r="O6" s="13" t="n">
        <x:f>G6/'Assumptions'!$C$6</x:f>
        <x:v>39.65665236051502</x:v>
      </x:c>
      <x:c r="P6" s="14" t="n">
        <x:f>F6/G6</x:f>
        <x:v>0.170995670995671</x:v>
      </x:c>
      <x:c r="Q6" s="15" t="n">
        <x:f>G6*4.4482216153/(K6*L6)</x:f>
        <x:v>0.6059456992215533</x:v>
      </x:c>
      <x:c r="R6" s="15" t="n">
        <x:f>'Assumptions'!$C$8+'Assumptions'!$C$13</x:f>
        <x:v>0.016</x:v>
      </x:c>
      <x:c r="S6" s="15" t="n">
        <x:f>N6*Q6^2</x:f>
        <x:v>0.02486451703221059</x:v>
      </x:c>
      <x:c r="T6" s="15" t="n">
        <x:f>'Assumptions'!$C$14</x:f>
        <x:v>0</x:v>
      </x:c>
      <x:c r="U6" s="15" t="n">
        <x:f>SUM(R6:T6)</x:f>
        <x:v>0.04086451703221059</x:v>
      </x:c>
      <x:c r="V6" s="16" t="n">
        <x:f>K6*L6*R6/4.4482216153</x:f>
        <x:v>243.98225812960996</x:v>
      </x:c>
      <x:c r="W6" s="16" t="n">
        <x:f>K6*L6*S6/4.4482216153</x:f>
        <x:v>379.15631330130543</x:v>
      </x:c>
      <x:c r="X6" s="16" t="n">
        <x:f>K6*L6*T6/4.4482216153</x:f>
        <x:v>0</x:v>
      </x:c>
      <x:c r="Y6" s="16" t="n">
        <x:f>SUM(V6:X6)</x:f>
        <x:v>623.1385714309154</x:v>
      </x:c>
      <x:c r="Z6" s="9" t="n">
        <x:f>V6/Y6</x:f>
        <x:v>0.39153772421654565</x:v>
      </x:c>
      <x:c r="AA6" s="9" t="n">
        <x:f>W6/Y6</x:f>
        <x:v>0.6084622757834545</x:v>
      </x:c>
      <x:c r="AB6" s="13" t="n">
        <x:f>G6/Y6</x:f>
        <x:v>14.828162504500652</x:v>
      </x:c>
      <x:c r="AC6" s="11" t="n">
        <x:f>'Assumptions'!$C$10</x:f>
        <x:v>0.8</x:v>
      </x:c>
      <x:c r="AD6" s="16" t="n">
        <x:f>F6</x:f>
        <x:v>1580</x:v>
      </x:c>
      <x:c r="AE6" s="16" t="n">
        <x:f>AD6*AC6</x:f>
        <x:v>1264</x:v>
      </x:c>
      <x:c r="AF6" s="16" t="n">
        <x:f>Y6*4.4482216153*(C6*0.44704)/745.6998716</x:f>
        <x:v>265.8724571398967</x:v>
      </x:c>
      <x:c r="AG6" s="16" t="n">
        <x:f>AF6/AC6</x:f>
        <x:v>332.34057142487086</x:v>
      </x:c>
      <x:c r="AH6" s="16" t="n">
        <x:f>AE6-AF6</x:f>
        <x:v>998.1275428601033</x:v>
      </x:c>
      <x:c r="AI6" s="16" t="n">
        <x:f>AH6*745.6998716/(G6*4.4482216153)</x:f>
        <x:v>18.108885420731625</x:v>
      </x:c>
      <x:c r="AJ6" s="16" t="n">
        <x:f>AI6*196.8503937</x:f>
        <x:v>3564.7412245392106</x:v>
      </x:c>
      <x:c r="AK6" s="16" t="n">
        <x:f>AH6*745.6998716/(G6*0.45359237*C6*0.44704)</x:f>
        <x:v>2.482824540488474</x:v>
      </x:c>
      <x:c r="AL6" s="16" t="n">
        <x:f>SQRT(2*G6*4.4482216153/(1.225*L6*'Assumptions'!$C$11))/0.44704</x:f>
        <x:v>98.46385799361909</x:v>
      </x:c>
      <x:c r="AM6" s="16" t="n">
        <x:f>MIN('Assumptions'!$C$12,'Assumptions'!$C$11*K6*L6/(G6*4.4482216153))</x:f>
        <x:v>2.6405006291083324</x:v>
      </x:c>
      <x:c r="AN6" s="16" t="n">
        <x:f>IF(AE6*745.6998716/(C6*0.44704)-(V6+X6)*4.4482216153&lt;W6*4.4482216153,"n.a.",MIN(AM6,SQRT((AE6*745.6998716/(C6*0.44704)-(V6+X6)*4.4482216153)/(W6*4.4482216153))))</x:f>
        <x:v>2.6405006291083324</x:v>
      </x:c>
      <x:c r="AO6" s="16" t="n">
        <x:f>IF(AM6&gt;1,9.80665*SQRT(AM6^2-1)/(C6*0.44704)*180/PI(),"n.a.")</x:f>
        <x:v>19.197545109576737</x:v>
      </x:c>
      <x:c r="AP6" s="16" t="n">
        <x:f>IF(ISNUMBER(AN6),IF(AN6&gt;1,9.80665*SQRT(AN6^2-1)/(C6*0.44704)*180/PI(),"n.a."),"n.a.")</x:f>
        <x:v>19.197545109576737</x:v>
      </x:c>
      <x:c r="AQ6" s="16" t="n">
        <x:f>IF(AM6&gt;1,(C6*0.44704)^2/(9.80665*SQRT(AM6^2-1)),"n.a.")</x:f>
        <x:v>213.47317171924004</x:v>
      </x:c>
      <x:c r="AR6" s="16" t="n">
        <x:f>IF(ISNUMBER(AN6),IF(AN6&gt;1,(C6*0.44704)^2/(9.80665*SQRT(AN6^2-1)),"n.a."),"n.a.")</x:f>
        <x:v>213.47317171924004</x:v>
      </x:c>
      <x:c r="AS6" s="6" t="str">
        <x:f>IF(I6&gt;=AL6,"Within modeled CLmax","Below modeled stall")</x:f>
        <x:v>Within modeled CLmax</x:v>
      </x:c>
      <x:c r="AT6" s="6" t="str">
        <x:v>D: aero and eta estimated</x:v>
      </x:c>
      <x:c r="AU6" s="6" t="str">
        <x:v>Fixed BHP node snapshot; no source-backed 6G/CLmax/eta map</x:v>
      </x:c>
    </x:row>
    <x:row r="7">
      <x:c r="B7" s="10" t="n">
        <x:v>0</x:v>
      </x:c>
      <x:c r="C7" s="10" t="n">
        <x:v>190</x:v>
      </x:c>
      <x:c r="D7" s="6" t="str">
        <x:v>67inHg</x:v>
      </x:c>
      <x:c r="E7" s="6" t="str">
        <x:v>low</x:v>
      </x:c>
      <x:c r="F7" s="6" t="n">
        <x:v>1580</x:v>
      </x:c>
      <x:c r="G7" s="6" t="n">
        <x:f>'Assumptions'!$C$5</x:f>
        <x:v>9240</x:v>
      </x:c>
      <x:c r="H7" s="11" t="n">
        <x:f>(101325*((288.15-0.0065*B7*0.3048)/288.15)^5.2558797)/(287.05287*(288.15-0.0065*B7*0.3048))</x:f>
        <x:v>1.225000018124288</x:v>
      </x:c>
      <x:c r="I7" s="11" t="n">
        <x:f>C7*SQRT(H7/1.225)</x:f>
        <x:v>190.00000140555701</x:v>
      </x:c>
      <x:c r="J7" s="11" t="n">
        <x:f>C7*0.44704/SQRT(1.4*287.05287*(288.15-0.0065*B7*0.3048))</x:f>
        <x:v>0.24960064822975414</x:v>
      </x:c>
      <x:c r="K7" s="12" t="n">
        <x:f>0.5*H7*(C7*0.44704)^2</x:f>
        <x:v>4418.817550305895</x:v>
      </x:c>
      <x:c r="L7" s="11" t="n">
        <x:f>'Assumptions'!$C$6*0.09290304</x:f>
        <x:v>21.646408320000003</x:v>
      </x:c>
      <x:c r="M7" s="11" t="n">
        <x:f>('Assumptions'!$C$7*0.3048)^2/L7</x:f>
        <x:v>5.875536480686696</x:v>
      </x:c>
      <x:c r="N7" s="11" t="n">
        <x:f>1/(PI()*M7*'Assumptions'!$C$9)</x:f>
        <x:v>0.06771932385027686</x:v>
      </x:c>
      <x:c r="O7" s="13" t="n">
        <x:f>G7/'Assumptions'!$C$6</x:f>
        <x:v>39.65665236051502</x:v>
      </x:c>
      <x:c r="P7" s="14" t="n">
        <x:f>F7/G7</x:f>
        <x:v>0.170995670995671</x:v>
      </x:c>
      <x:c r="Q7" s="15" t="n">
        <x:f>G7*4.4482216153/(K7*L7)</x:f>
        <x:v>0.4297011052651457</x:v>
      </x:c>
      <x:c r="R7" s="15" t="n">
        <x:f>'Assumptions'!$C$8+'Assumptions'!$C$13</x:f>
        <x:v>0.016</x:v>
      </x:c>
      <x:c r="S7" s="15" t="n">
        <x:f>N7*Q7^2</x:f>
        <x:v>0.012503901813391182</x:v>
      </x:c>
      <x:c r="T7" s="15" t="n">
        <x:f>'Assumptions'!$C$14</x:f>
        <x:v>0</x:v>
      </x:c>
      <x:c r="U7" s="15" t="n">
        <x:f>SUM(R7:T7)</x:f>
        <x:v>0.028503901813391182</x:v>
      </x:c>
      <x:c r="V7" s="16" t="n">
        <x:f>K7*L7*R7/4.4482216153</x:f>
        <x:v>344.0531061905829</x:v>
      </x:c>
      <x:c r="W7" s="16" t="n">
        <x:f>K7*L7*S7/4.4482216153</x:f>
        <x:v>268.87539114995616</x:v>
      </x:c>
      <x:c r="X7" s="16" t="n">
        <x:f>K7*L7*T7/4.4482216153</x:f>
        <x:v>0</x:v>
      </x:c>
      <x:c r="Y7" s="16" t="n">
        <x:f>SUM(V7:X7)</x:f>
        <x:v>612.928497340539</x:v>
      </x:c>
      <x:c r="Z7" s="9" t="n">
        <x:f>V7/Y7</x:f>
        <x:v>0.5613266599340857</x:v>
      </x:c>
      <x:c r="AA7" s="9" t="n">
        <x:f>W7/Y7</x:f>
        <x:v>0.43867334006591435</x:v>
      </x:c>
      <x:c r="AB7" s="13" t="n">
        <x:f>G7/Y7</x:f>
        <x:v>15.075167886779324</x:v>
      </x:c>
      <x:c r="AC7" s="11" t="n">
        <x:f>'Assumptions'!$C$10</x:f>
        <x:v>0.8</x:v>
      </x:c>
      <x:c r="AD7" s="16" t="n">
        <x:f>F7</x:f>
        <x:v>1580</x:v>
      </x:c>
      <x:c r="AE7" s="16" t="n">
        <x:f>AD7*AC7</x:f>
        <x:v>1264</x:v>
      </x:c>
      <x:c r="AF7" s="16" t="n">
        <x:f>Y7*4.4482216153*(C7*0.44704)/745.6998716</x:f>
        <x:v>310.5504386479138</x:v>
      </x:c>
      <x:c r="AG7" s="16" t="n">
        <x:f>AF7/AC7</x:f>
        <x:v>388.1880483098922</x:v>
      </x:c>
      <x:c r="AH7" s="16" t="n">
        <x:f>AE7-AF7</x:f>
        <x:v>953.4495613520862</x:v>
      </x:c>
      <x:c r="AI7" s="16" t="n">
        <x:f>AH7*745.6998716/(G7*4.4482216153)</x:f>
        <x:v>17.298299184788387</x:v>
      </x:c>
      <x:c r="AJ7" s="16" t="n">
        <x:f>AI7*196.8503937</x:f>
        <x:v>3405.1770048659832</x:v>
      </x:c>
      <x:c r="AK7" s="16" t="n">
        <x:f>AH7*745.6998716/(G7*0.45359237*C7*0.44704)</x:f>
        <x:v>1.9972116671769795</x:v>
      </x:c>
      <x:c r="AL7" s="16" t="n">
        <x:f>SQRT(2*G7*4.4482216153/(1.225*L7*'Assumptions'!$C$11))/0.44704</x:f>
        <x:v>98.46385799361909</x:v>
      </x:c>
      <x:c r="AM7" s="16" t="n">
        <x:f>MIN('Assumptions'!$C$12,'Assumptions'!$C$11*K7*L7/(G7*4.4482216153))</x:f>
        <x:v>3.7235184652660482</x:v>
      </x:c>
      <x:c r="AN7" s="16" t="n">
        <x:f>IF(AE7*745.6998716/(C7*0.44704)-(V7+X7)*4.4482216153&lt;W7*4.4482216153,"n.a.",MIN(AM7,SQRT((AE7*745.6998716/(C7*0.44704)-(V7+X7)*4.4482216153)/(W7*4.4482216153))))</x:f>
        <x:v>2.828217126431785</x:v>
      </x:c>
      <x:c r="AO7" s="16" t="n">
        <x:f>IF(AM7&gt;1,9.80665*SQRT(AM7^2-1)/(C7*0.44704)*180/PI(),"n.a.")</x:f>
        <x:v>23.726916034857513</x:v>
      </x:c>
      <x:c r="AP7" s="16" t="n">
        <x:f>IF(ISNUMBER(AN7),IF(AN7&gt;1,9.80665*SQRT(AN7^2-1)/(C7*0.44704)*180/PI(),"n.a."),"n.a.")</x:f>
        <x:v>17.50070281741624</x:v>
      </x:c>
      <x:c r="AQ7" s="16" t="n">
        <x:f>IF(AM7&gt;1,(C7*0.44704)^2/(9.80665*SQRT(AM7^2-1)),"n.a.")</x:f>
        <x:v>205.1073976416003</x:v>
      </x:c>
      <x:c r="AR7" s="16" t="n">
        <x:f>IF(ISNUMBER(AN7),IF(AN7&gt;1,(C7*0.44704)^2/(9.80665*SQRT(AN7^2-1)),"n.a."),"n.a.")</x:f>
        <x:v>278.0783179248837</x:v>
      </x:c>
      <x:c r="AS7" s="6" t="str">
        <x:f>IF(I7&gt;=AL7,"Within modeled CLmax","Below modeled stall")</x:f>
        <x:v>Within modeled CLmax</x:v>
      </x:c>
      <x:c r="AT7" s="6" t="str">
        <x:v>D: aero and eta estimated</x:v>
      </x:c>
      <x:c r="AU7" s="6" t="str">
        <x:v>Fixed BHP node snapshot; no source-backed 6G/CLmax/eta map</x:v>
      </x:c>
    </x:row>
    <x:row r="8">
      <x:c r="B8" s="10" t="n">
        <x:v>0</x:v>
      </x:c>
      <x:c r="C8" s="10" t="n">
        <x:v>220</x:v>
      </x:c>
      <x:c r="D8" s="6" t="str">
        <x:v>67inHg</x:v>
      </x:c>
      <x:c r="E8" s="6" t="str">
        <x:v>low</x:v>
      </x:c>
      <x:c r="F8" s="6" t="n">
        <x:v>1580</x:v>
      </x:c>
      <x:c r="G8" s="6" t="n">
        <x:f>'Assumptions'!$C$5</x:f>
        <x:v>9240</x:v>
      </x:c>
      <x:c r="H8" s="11" t="n">
        <x:f>(101325*((288.15-0.0065*B8*0.3048)/288.15)^5.2558797)/(287.05287*(288.15-0.0065*B8*0.3048))</x:f>
        <x:v>1.225000018124288</x:v>
      </x:c>
      <x:c r="I8" s="11" t="n">
        <x:f>C8*SQRT(H8/1.225)</x:f>
        <x:v>220.00000162748705</x:v>
      </x:c>
      <x:c r="J8" s="11" t="n">
        <x:f>C8*0.44704/SQRT(1.4*287.05287*(288.15-0.0065*B8*0.3048))</x:f>
        <x:v>0.28901127689761</x:v>
      </x:c>
      <x:c r="K8" s="12" t="n">
        <x:f>0.5*H8*(C8*0.44704)^2</x:f>
        <x:v>5924.398045285465</x:v>
      </x:c>
      <x:c r="L8" s="11" t="n">
        <x:f>'Assumptions'!$C$6*0.09290304</x:f>
        <x:v>21.646408320000003</x:v>
      </x:c>
      <x:c r="M8" s="11" t="n">
        <x:f>('Assumptions'!$C$7*0.3048)^2/L8</x:f>
        <x:v>5.875536480686696</x:v>
      </x:c>
      <x:c r="N8" s="11" t="n">
        <x:f>1/(PI()*M8*'Assumptions'!$C$9)</x:f>
        <x:v>0.06771932385027686</x:v>
      </x:c>
      <x:c r="O8" s="13" t="n">
        <x:f>G8/'Assumptions'!$C$6</x:f>
        <x:v>39.65665236051502</x:v>
      </x:c>
      <x:c r="P8" s="14" t="n">
        <x:f>F8/G8</x:f>
        <x:v>0.170995670995671</x:v>
      </x:c>
      <x:c r="Q8" s="15" t="n">
        <x:f>G8*4.4482216153/(K8*L8)</x:f>
        <x:v>0.32050020454693723</x:v>
      </x:c>
      <x:c r="R8" s="15" t="n">
        <x:f>'Assumptions'!$C$8+'Assumptions'!$C$13</x:f>
        <x:v>0.016</x:v>
      </x:c>
      <x:c r="S8" s="15" t="n">
        <x:f>N8*Q8^2</x:f>
        <x:v>0.006956154754725398</x:v>
      </x:c>
      <x:c r="T8" s="15" t="n">
        <x:f>'Assumptions'!$C$14</x:f>
        <x:v>0</x:v>
      </x:c>
      <x:c r="U8" s="15" t="n">
        <x:f>SUM(R8:T8)</x:f>
        <x:v>0.0229561547547254</x:v>
      </x:c>
      <x:c r="V8" s="16" t="n">
        <x:f>K8*L8*R8/4.4482216153</x:f>
        <x:v>461.27895677629385</x:v>
      </x:c>
      <x:c r="W8" s="16" t="n">
        <x:f>K8*L8*S8/4.4482216153</x:f>
        <x:v>200.54548802713674</x:v>
      </x:c>
      <x:c r="X8" s="16" t="n">
        <x:f>K8*L8*T8/4.4482216153</x:f>
        <x:v>0</x:v>
      </x:c>
      <x:c r="Y8" s="16" t="n">
        <x:f>SUM(V8:X8)</x:f>
        <x:v>661.8244448034307</x:v>
      </x:c>
      <x:c r="Z8" s="9" t="n">
        <x:f>V8/Y8</x:f>
        <x:v>0.6969808389493666</x:v>
      </x:c>
      <x:c r="AA8" s="9" t="n">
        <x:f>W8/Y8</x:f>
        <x:v>0.3030191610506333</x:v>
      </x:c>
      <x:c r="AB8" s="13" t="n">
        <x:f>G8/Y8</x:f>
        <x:v>13.961406340535495</x:v>
      </x:c>
      <x:c r="AC8" s="11" t="n">
        <x:f>'Assumptions'!$C$10</x:f>
        <x:v>0.8</x:v>
      </x:c>
      <x:c r="AD8" s="16" t="n">
        <x:f>F8</x:f>
        <x:v>1580</x:v>
      </x:c>
      <x:c r="AE8" s="16" t="n">
        <x:f>AD8*AC8</x:f>
        <x:v>1264</x:v>
      </x:c>
      <x:c r="AF8" s="16" t="n">
        <x:f>Y8*4.4482216153*(C8*0.44704)/745.6998716</x:f>
        <x:v>388.2703409455622</x:v>
      </x:c>
      <x:c r="AG8" s="16" t="n">
        <x:f>AF8/AC8</x:f>
        <x:v>485.33792618195275</x:v>
      </x:c>
      <x:c r="AH8" s="16" t="n">
        <x:f>AE8-AF8</x:f>
        <x:v>875.7296590544378</x:v>
      </x:c>
      <x:c r="AI8" s="16" t="n">
        <x:f>AH8*745.6998716/(G8*4.4482216153)</x:f>
        <x:v>15.88823810022433</x:v>
      </x:c>
      <x:c r="AJ8" s="16" t="n">
        <x:f>AI8*196.8503937</x:f>
        <x:v>3127.6059252284995</x:v>
      </x:c>
      <x:c r="AK8" s="16" t="n">
        <x:f>AH8*745.6998716/(G8*0.45359237*C8*0.44704)</x:f>
        <x:v>1.5842632565618342</x:v>
      </x:c>
      <x:c r="AL8" s="16" t="n">
        <x:f>SQRT(2*G8*4.4482216153/(1.225*L8*'Assumptions'!$C$11))/0.44704</x:f>
        <x:v>98.46385799361909</x:v>
      </x:c>
      <x:c r="AM8" s="16" t="n">
        <x:f>MIN('Assumptions'!$C$12,'Assumptions'!$C$11*K8*L8/(G8*4.4482216153))</x:f>
        <x:v>4.992196501907942</x:v>
      </x:c>
      <x:c r="AN8" s="16" t="n">
        <x:f>IF(AE8*745.6998716/(C8*0.44704)-(V8+X8)*4.4482216153&lt;W8*4.4482216153,"n.a.",MIN(AM8,SQRT((AE8*745.6998716/(C8*0.44704)-(V8+X8)*4.4482216153)/(W8*4.4482216153))))</x:f>
        <x:v>2.9057363753647176</x:v>
      </x:c>
      <x:c r="AO8" s="16" t="n">
        <x:f>IF(AM8&gt;1,9.80665*SQRT(AM8^2-1)/(C8*0.44704)*180/PI(),"n.a.")</x:f>
        <x:v>27.943012239495268</x:v>
      </x:c>
      <x:c r="AP8" s="16" t="n">
        <x:f>IF(ISNUMBER(AN8),IF(AN8&gt;1,9.80665*SQRT(AN8^2-1)/(C8*0.44704)*180/PI(),"n.a."),"n.a.")</x:f>
        <x:v>15.586805559122526</x:v>
      </x:c>
      <x:c r="AQ8" s="16" t="n">
        <x:f>IF(AM8&gt;1,(C8*0.44704)^2/(9.80665*SQRT(AM8^2-1)),"n.a.")</x:f>
        <x:v>201.6594027830557</x:v>
      </x:c>
      <x:c r="AR8" s="16" t="n">
        <x:f>IF(ISNUMBER(AN8),IF(AN8&gt;1,(C8*0.44704)^2/(9.80665*SQRT(AN8^2-1)),"n.a."),"n.a.")</x:f>
        <x:v>361.5218743059406</x:v>
      </x:c>
      <x:c r="AS8" s="6" t="str">
        <x:f>IF(I8&gt;=AL8,"Within modeled CLmax","Below modeled stall")</x:f>
        <x:v>Within modeled CLmax</x:v>
      </x:c>
      <x:c r="AT8" s="6" t="str">
        <x:v>D: aero and eta estimated</x:v>
      </x:c>
      <x:c r="AU8" s="6" t="str">
        <x:v>Fixed BHP node snapshot; no source-backed 6G/CLmax/eta map</x:v>
      </x:c>
    </x:row>
    <x:row r="9">
      <x:c r="B9" s="10" t="n">
        <x:v>0</x:v>
      </x:c>
      <x:c r="C9" s="10" t="n">
        <x:v>250</x:v>
      </x:c>
      <x:c r="D9" s="6" t="str">
        <x:v>67inHg</x:v>
      </x:c>
      <x:c r="E9" s="6" t="str">
        <x:v>low</x:v>
      </x:c>
      <x:c r="F9" s="6" t="n">
        <x:v>1580</x:v>
      </x:c>
      <x:c r="G9" s="6" t="n">
        <x:f>'Assumptions'!$C$5</x:f>
        <x:v>9240</x:v>
      </x:c>
      <x:c r="H9" s="11" t="n">
        <x:f>(101325*((288.15-0.0065*B9*0.3048)/288.15)^5.2558797)/(287.05287*(288.15-0.0065*B9*0.3048))</x:f>
        <x:v>1.225000018124288</x:v>
      </x:c>
      <x:c r="I9" s="11" t="n">
        <x:f>C9*SQRT(H9/1.225)</x:f>
        <x:v>250.00000184941712</x:v>
      </x:c>
      <x:c r="J9" s="11" t="n">
        <x:f>C9*0.44704/SQRT(1.4*287.05287*(288.15-0.0065*B9*0.3048))</x:f>
        <x:v>0.32842190556546597</x:v>
      </x:c>
      <x:c r="K9" s="12" t="n">
        <x:f>0.5*H9*(C9*0.44704)^2</x:f>
        <x:v>7650.307393188876</x:v>
      </x:c>
      <x:c r="L9" s="11" t="n">
        <x:f>'Assumptions'!$C$6*0.09290304</x:f>
        <x:v>21.646408320000003</x:v>
      </x:c>
      <x:c r="M9" s="11" t="n">
        <x:f>('Assumptions'!$C$7*0.3048)^2/L9</x:f>
        <x:v>5.875536480686696</x:v>
      </x:c>
      <x:c r="N9" s="11" t="n">
        <x:f>1/(PI()*M9*'Assumptions'!$C$9)</x:f>
        <x:v>0.06771932385027686</x:v>
      </x:c>
      <x:c r="O9" s="13" t="n">
        <x:f>G9/'Assumptions'!$C$6</x:f>
        <x:v>39.65665236051502</x:v>
      </x:c>
      <x:c r="P9" s="14" t="n">
        <x:f>F9/G9</x:f>
        <x:v>0.170995670995671</x:v>
      </x:c>
      <x:c r="Q9" s="15" t="n">
        <x:f>G9*4.4482216153/(K9*L9)</x:f>
        <x:v>0.24819535840114818</x:v>
      </x:c>
      <x:c r="R9" s="15" t="n">
        <x:f>'Assumptions'!$C$8+'Assumptions'!$C$13</x:f>
        <x:v>0.016</x:v>
      </x:c>
      <x:c r="S9" s="15" t="n">
        <x:f>N9*Q9^2</x:f>
        <x:v>0.004171573729850758</x:v>
      </x:c>
      <x:c r="T9" s="15" t="n">
        <x:f>'Assumptions'!$C$14</x:f>
        <x:v>0</x:v>
      </x:c>
      <x:c r="U9" s="15" t="n">
        <x:f>SUM(R9:T9)</x:f>
        <x:v>0.020171573729850758</x:v>
      </x:c>
      <x:c r="V9" s="16" t="n">
        <x:f>K9*L9*R9/4.4482216153</x:f>
        <x:v>595.6598098867432</x:v>
      </x:c>
      <x:c r="W9" s="16" t="n">
        <x:f>K9*L9*S9/4.4482216153</x:f>
        <x:v>155.3024259282147</x:v>
      </x:c>
      <x:c r="X9" s="16" t="n">
        <x:f>K9*L9*T9/4.4482216153</x:f>
        <x:v>0</x:v>
      </x:c>
      <x:c r="Y9" s="16" t="n">
        <x:f>SUM(V9:X9)</x:f>
        <x:v>750.9622358149579</x:v>
      </x:c>
      <x:c r="Z9" s="9" t="n">
        <x:f>V9/Y9</x:f>
        <x:v>0.7931954251205753</x:v>
      </x:c>
      <x:c r="AA9" s="9" t="n">
        <x:f>W9/Y9</x:f>
        <x:v>0.20680457487942475</x:v>
      </x:c>
      <x:c r="AB9" s="13" t="n">
        <x:f>G9/Y9</x:f>
        <x:v>12.304213926247014</x:v>
      </x:c>
      <x:c r="AC9" s="11" t="n">
        <x:f>'Assumptions'!$C$10</x:f>
        <x:v>0.8</x:v>
      </x:c>
      <x:c r="AD9" s="16" t="n">
        <x:f>F9</x:f>
        <x:v>1580</x:v>
      </x:c>
      <x:c r="AE9" s="16" t="n">
        <x:f>AD9*AC9</x:f>
        <x:v>1264</x:v>
      </x:c>
      <x:c r="AF9" s="16" t="n">
        <x:f>Y9*4.4482216153*(C9*0.44704)/745.6998716</x:f>
        <x:v>500.64149053584765</x:v>
      </x:c>
      <x:c r="AG9" s="16" t="n">
        <x:f>AF9/AC9</x:f>
        <x:v>625.8018631698095</x:v>
      </x:c>
      <x:c r="AH9" s="16" t="n">
        <x:f>AE9-AF9</x:f>
        <x:v>763.3585094641523</x:v>
      </x:c>
      <x:c r="AI9" s="16" t="n">
        <x:f>AH9*745.6998716/(G9*4.4482216153)</x:f>
        <x:v>13.849504386198785</x:v>
      </x:c>
      <x:c r="AJ9" s="16" t="n">
        <x:f>AI9*196.8503937</x:f>
        <x:v>2726.280390973108</x:v>
      </x:c>
      <x:c r="AK9" s="16" t="n">
        <x:f>AH9*745.6998716/(G9*0.45359237*C9*0.44704)</x:f>
        <x:v>1.2152580725673081</x:v>
      </x:c>
      <x:c r="AL9" s="16" t="n">
        <x:f>SQRT(2*G9*4.4482216153/(1.225*L9*'Assumptions'!$C$11))/0.44704</x:f>
        <x:v>98.46385799361909</x:v>
      </x:c>
      <x:c r="AM9" s="16" t="n">
        <x:f>MIN('Assumptions'!$C$12,'Assumptions'!$C$11*K9*L9/(G9*4.4482216153))</x:f>
        <x:v>6</x:v>
      </x:c>
      <x:c r="AN9" s="16" t="n">
        <x:f>IF(AE9*745.6998716/(C9*0.44704)-(V9+X9)*4.4482216153&lt;W9*4.4482216153,"n.a.",MIN(AM9,SQRT((AE9*745.6998716/(C9*0.44704)-(V9+X9)*4.4482216153)/(W9*4.4482216153))))</x:f>
        <x:v>2.8936058446156547</x:v>
      </x:c>
      <x:c r="AO9" s="16" t="n">
        <x:f>IF(AM9&gt;1,9.80665*SQRT(AM9^2-1)/(C9*0.44704)*180/PI(),"n.a.")</x:f>
        <x:v>29.743422283060013</x:v>
      </x:c>
      <x:c r="AP9" s="16" t="n">
        <x:f>IF(ISNUMBER(AN9),IF(AN9&gt;1,9.80665*SQRT(AN9^2-1)/(C9*0.44704)*180/PI(),"n.a."),"n.a.")</x:f>
        <x:v>13.651415968985424</x:v>
      </x:c>
      <x:c r="AQ9" s="16" t="n">
        <x:f>IF(AM9&gt;1,(C9*0.44704)^2/(9.80665*SQRT(AM9^2-1)),"n.a.")</x:f>
        <x:v>215.2871400420201</x:v>
      </x:c>
      <x:c r="AR9" s="16" t="n">
        <x:f>IF(ISNUMBER(AN9),IF(AN9&gt;1,(C9*0.44704)^2/(9.80665*SQRT(AN9^2-1)),"n.a."),"n.a.")</x:f>
        <x:v>469.06316040254546</x:v>
      </x:c>
      <x:c r="AS9" s="6" t="str">
        <x:f>IF(I9&gt;=AL9,"Within modeled CLmax","Below modeled stall")</x:f>
        <x:v>Within modeled CLmax</x:v>
      </x:c>
      <x:c r="AT9" s="6" t="str">
        <x:v>D: aero and eta estimated</x:v>
      </x:c>
      <x:c r="AU9" s="6" t="str">
        <x:v>Fixed BHP node snapshot; no source-backed 6G/CLmax/eta map</x:v>
      </x:c>
    </x:row>
    <x:row r="10">
      <x:c r="B10" s="10" t="n">
        <x:v>0</x:v>
      </x:c>
      <x:c r="C10" s="10" t="n">
        <x:v>280</x:v>
      </x:c>
      <x:c r="D10" s="6" t="str">
        <x:v>67inHg</x:v>
      </x:c>
      <x:c r="E10" s="6" t="str">
        <x:v>low</x:v>
      </x:c>
      <x:c r="F10" s="6" t="n">
        <x:v>1580</x:v>
      </x:c>
      <x:c r="G10" s="6" t="n">
        <x:f>'Assumptions'!$C$5</x:f>
        <x:v>9240</x:v>
      </x:c>
      <x:c r="H10" s="11" t="n">
        <x:f>(101325*((288.15-0.0065*B10*0.3048)/288.15)^5.2558797)/(287.05287*(288.15-0.0065*B10*0.3048))</x:f>
        <x:v>1.225000018124288</x:v>
      </x:c>
      <x:c r="I10" s="11" t="n">
        <x:f>C10*SQRT(H10/1.225)</x:f>
        <x:v>280.0000020713472</x:v>
      </x:c>
      <x:c r="J10" s="11" t="n">
        <x:f>C10*0.44704/SQRT(1.4*287.05287*(288.15-0.0065*B10*0.3048))</x:f>
        <x:v>0.36783253423332185</x:v>
      </x:c>
      <x:c r="K10" s="12" t="n">
        <x:f>0.5*H10*(C10*0.44704)^2</x:f>
        <x:v>9596.545594016125</x:v>
      </x:c>
      <x:c r="L10" s="11" t="n">
        <x:f>'Assumptions'!$C$6*0.09290304</x:f>
        <x:v>21.646408320000003</x:v>
      </x:c>
      <x:c r="M10" s="11" t="n">
        <x:f>('Assumptions'!$C$7*0.3048)^2/L10</x:f>
        <x:v>5.875536480686696</x:v>
      </x:c>
      <x:c r="N10" s="11" t="n">
        <x:f>1/(PI()*M10*'Assumptions'!$C$9)</x:f>
        <x:v>0.06771932385027686</x:v>
      </x:c>
      <x:c r="O10" s="13" t="n">
        <x:f>G10/'Assumptions'!$C$6</x:f>
        <x:v>39.65665236051502</x:v>
      </x:c>
      <x:c r="P10" s="14" t="n">
        <x:f>F10/G10</x:f>
        <x:v>0.170995670995671</x:v>
      </x:c>
      <x:c r="Q10" s="15" t="n">
        <x:f>G10*4.4482216153/(K10*L10)</x:f>
        <x:v>0.19785982015397657</x:v>
      </x:c>
      <x:c r="R10" s="15" t="n">
        <x:f>'Assumptions'!$C$8+'Assumptions'!$C$13</x:f>
        <x:v>0.016</x:v>
      </x:c>
      <x:c r="S10" s="15" t="n">
        <x:f>N10*Q10^2</x:f>
        <x:v>0.00265111052071883</x:v>
      </x:c>
      <x:c r="T10" s="15" t="n">
        <x:f>'Assumptions'!$C$14</x:f>
        <x:v>0</x:v>
      </x:c>
      <x:c r="U10" s="15" t="n">
        <x:f>SUM(R10:T10)</x:f>
        <x:v>0.01865111052071883</x:v>
      </x:c>
      <x:c r="V10" s="16" t="n">
        <x:f>K10*L10*R10/4.4482216153</x:f>
        <x:v>747.1956655219304</x:v>
      </x:c>
      <x:c r="W10" s="16" t="n">
        <x:f>K10*L10*S10/4.4482216153</x:f>
        <x:v>123.80614311879361</x:v>
      </x:c>
      <x:c r="X10" s="16" t="n">
        <x:f>K10*L10*T10/4.4482216153</x:f>
        <x:v>0</x:v>
      </x:c>
      <x:c r="Y10" s="16" t="n">
        <x:f>SUM(V10:X10)</x:f>
        <x:v>871.001808640724</x:v>
      </x:c>
      <x:c r="Z10" s="9" t="n">
        <x:f>V10/Y10</x:f>
        <x:v>0.8578577657467737</x:v>
      </x:c>
      <x:c r="AA10" s="9" t="n">
        <x:f>W10/Y10</x:f>
        <x:v>0.14214223425322633</x:v>
      </x:c>
      <x:c r="AB10" s="13" t="n">
        <x:f>G10/Y10</x:f>
        <x:v>10.608473953021802</x:v>
      </x:c>
      <x:c r="AC10" s="11" t="n">
        <x:f>'Assumptions'!$C$10</x:f>
        <x:v>0.8</x:v>
      </x:c>
      <x:c r="AD10" s="16" t="n">
        <x:f>F10</x:f>
        <x:v>1580</x:v>
      </x:c>
      <x:c r="AE10" s="16" t="n">
        <x:f>AD10*AC10</x:f>
        <x:v>1264</x:v>
      </x:c>
      <x:c r="AF10" s="16" t="n">
        <x:f>Y10*4.4482216153*(C10*0.44704)/745.6998716</x:f>
        <x:v>650.3480171087194</x:v>
      </x:c>
      <x:c r="AG10" s="16" t="n">
        <x:f>AF10/AC10</x:f>
        <x:v>812.9350213858993</x:v>
      </x:c>
      <x:c r="AH10" s="16" t="n">
        <x:f>AE10-AF10</x:f>
        <x:v>613.6519828912806</x:v>
      </x:c>
      <x:c r="AI10" s="16" t="n">
        <x:f>AH10*745.6998716/(G10*4.4482216153)</x:f>
        <x:v>11.133400261193364</x:v>
      </x:c>
      <x:c r="AJ10" s="16" t="n">
        <x:f>AI10*196.8503937</x:f>
        <x:v>2191.6142246355967</x:v>
      </x:c>
      <x:c r="AK10" s="16" t="n">
        <x:f>AH10*745.6998716/(G10*0.45359237*C10*0.44704)</x:f>
        <x:v>0.8722562352394274</x:v>
      </x:c>
      <x:c r="AL10" s="16" t="n">
        <x:f>SQRT(2*G10*4.4482216153/(1.225*L10*'Assumptions'!$C$11))/0.44704</x:f>
        <x:v>98.46385799361909</x:v>
      </x:c>
      <x:c r="AM10" s="16" t="n">
        <x:f>MIN('Assumptions'!$C$12,'Assumptions'!$C$11*K10*L10/(G10*4.4482216153))</x:f>
        <x:v>6</x:v>
      </x:c>
      <x:c r="AN10" s="16" t="n">
        <x:f>IF(AE10*745.6998716/(C10*0.44704)-(V10+X10)*4.4482216153&lt;W10*4.4482216153,"n.a.",MIN(AM10,SQRT((AE10*745.6998716/(C10*0.44704)-(V10+X10)*4.4482216153)/(W10*4.4482216153))))</x:f>
        <x:v>2.7637372480235562</x:v>
      </x:c>
      <x:c r="AO10" s="16" t="n">
        <x:f>IF(AM10&gt;1,9.80665*SQRT(AM10^2-1)/(C10*0.44704)*180/PI(),"n.a.")</x:f>
        <x:v>26.55662703844644</x:v>
      </x:c>
      <x:c r="AP10" s="16" t="n">
        <x:f>IF(ISNUMBER(AN10),IF(AN10&gt;1,9.80665*SQRT(AN10^2-1)/(C10*0.44704)*180/PI(),"n.a."),"n.a.")</x:f>
        <x:v>11.565528526731448</x:v>
      </x:c>
      <x:c r="AQ10" s="16" t="n">
        <x:f>IF(AM10&gt;1,(C10*0.44704)^2/(9.80665*SQRT(AM10^2-1)),"n.a.")</x:f>
        <x:v>270.05618846870993</x:v>
      </x:c>
      <x:c r="AR10" s="16" t="n">
        <x:f>IF(ISNUMBER(AN10),IF(AN10&gt;1,(C10*0.44704)^2/(9.80665*SQRT(AN10^2-1)),"n.a."),"n.a.")</x:f>
        <x:v>620.0997611143983</x:v>
      </x:c>
      <x:c r="AS10" s="6" t="str">
        <x:f>IF(I10&gt;=AL10,"Within modeled CLmax","Below modeled stall")</x:f>
        <x:v>Within modeled CLmax</x:v>
      </x:c>
      <x:c r="AT10" s="6" t="str">
        <x:v>D: aero and eta estimated</x:v>
      </x:c>
      <x:c r="AU10" s="6" t="str">
        <x:v>Fixed BHP node snapshot; no source-backed 6G/CLmax/eta map</x:v>
      </x:c>
    </x:row>
    <x:row r="11">
      <x:c r="B11" s="10" t="n">
        <x:v>0</x:v>
      </x:c>
      <x:c r="C11" s="10" t="n">
        <x:v>310</x:v>
      </x:c>
      <x:c r="D11" s="6" t="str">
        <x:v>67inHg</x:v>
      </x:c>
      <x:c r="E11" s="6" t="str">
        <x:v>low</x:v>
      </x:c>
      <x:c r="F11" s="6" t="n">
        <x:v>1580</x:v>
      </x:c>
      <x:c r="G11" s="6" t="n">
        <x:f>'Assumptions'!$C$5</x:f>
        <x:v>9240</x:v>
      </x:c>
      <x:c r="H11" s="11" t="n">
        <x:f>(101325*((288.15-0.0065*B11*0.3048)/288.15)^5.2558797)/(287.05287*(288.15-0.0065*B11*0.3048))</x:f>
        <x:v>1.225000018124288</x:v>
      </x:c>
      <x:c r="I11" s="11" t="n">
        <x:f>C11*SQRT(H11/1.225)</x:f>
        <x:v>310.00000229327725</x:v>
      </x:c>
      <x:c r="J11" s="11" t="n">
        <x:f>C11*0.44704/SQRT(1.4*287.05287*(288.15-0.0065*B11*0.3048))</x:f>
        <x:v>0.4072431629011778</x:v>
      </x:c>
      <x:c r="K11" s="12" t="n">
        <x:f>0.5*H11*(C11*0.44704)^2</x:f>
        <x:v>11763.112647767215</x:v>
      </x:c>
      <x:c r="L11" s="11" t="n">
        <x:f>'Assumptions'!$C$6*0.09290304</x:f>
        <x:v>21.646408320000003</x:v>
      </x:c>
      <x:c r="M11" s="11" t="n">
        <x:f>('Assumptions'!$C$7*0.3048)^2/L11</x:f>
        <x:v>5.875536480686696</x:v>
      </x:c>
      <x:c r="N11" s="11" t="n">
        <x:f>1/(PI()*M11*'Assumptions'!$C$9)</x:f>
        <x:v>0.06771932385027686</x:v>
      </x:c>
      <x:c r="O11" s="13" t="n">
        <x:f>G11/'Assumptions'!$C$6</x:f>
        <x:v>39.65665236051502</x:v>
      </x:c>
      <x:c r="P11" s="14" t="n">
        <x:f>F11/G11</x:f>
        <x:v>0.170995670995671</x:v>
      </x:c>
      <x:c r="Q11" s="15" t="n">
        <x:f>G11*4.4482216153/(K11*L11)</x:f>
        <x:v>0.16141737669169368</x:v>
      </x:c>
      <x:c r="R11" s="15" t="n">
        <x:f>'Assumptions'!$C$8+'Assumptions'!$C$13</x:f>
        <x:v>0.016</x:v>
      </x:c>
      <x:c r="S11" s="15" t="n">
        <x:f>N11*Q11^2</x:f>
        <x:v>0.0017644655489403628</x:v>
      </x:c>
      <x:c r="T11" s="15" t="n">
        <x:f>'Assumptions'!$C$14</x:f>
        <x:v>0</x:v>
      </x:c>
      <x:c r="U11" s="15" t="n">
        <x:f>SUM(R11:T11)</x:f>
        <x:v>0.017764465548940362</x:v>
      </x:c>
      <x:c r="V11" s="16" t="n">
        <x:f>K11*L11*R11/4.4482216153</x:f>
        <x:v>915.8865236818564</x:v>
      </x:c>
      <x:c r="W11" s="16" t="n">
        <x:f>K11*L11*S11/4.4482216153</x:f>
        <x:v>101.0031386109617</x:v>
      </x:c>
      <x:c r="X11" s="16" t="n">
        <x:f>K11*L11*T11/4.4482216153</x:f>
        <x:v>0</x:v>
      </x:c>
      <x:c r="Y11" s="16" t="n">
        <x:f>SUM(V11:X11)</x:f>
        <x:v>1016.8896622928181</x:v>
      </x:c>
      <x:c r="Z11" s="9" t="n">
        <x:f>V11/Y11</x:f>
        <x:v>0.9006744366117103</x:v>
      </x:c>
      <x:c r="AA11" s="9" t="n">
        <x:f>W11/Y11</x:f>
        <x:v>0.09932556338828959</x:v>
      </x:c>
      <x:c r="AB11" s="13" t="n">
        <x:f>G11/Y11</x:f>
        <x:v>9.086531550695712</x:v>
      </x:c>
      <x:c r="AC11" s="11" t="n">
        <x:f>'Assumptions'!$C$10</x:f>
        <x:v>0.8</x:v>
      </x:c>
      <x:c r="AD11" s="16" t="n">
        <x:f>F11</x:f>
        <x:v>1580</x:v>
      </x:c>
      <x:c r="AE11" s="16" t="n">
        <x:f>AD11*AC11</x:f>
        <x:v>1264</x:v>
      </x:c>
      <x:c r="AF11" s="16" t="n">
        <x:f>Y11*4.4482216153*(C11*0.44704)/745.6998716</x:f>
        <x:v>840.6287874828743</x:v>
      </x:c>
      <x:c r="AG11" s="16" t="n">
        <x:f>AF11/AC11</x:f>
        <x:v>1050.7859843535928</x:v>
      </x:c>
      <x:c r="AH11" s="16" t="n">
        <x:f>AE11-AF11</x:f>
        <x:v>423.37121251712574</x:v>
      </x:c>
      <x:c r="AI11" s="16" t="n">
        <x:f>AH11*745.6998716/(G11*4.4482216153)</x:f>
        <x:v>7.681163427210844</x:v>
      </x:c>
      <x:c r="AJ11" s="16" t="n">
        <x:f>AI11*196.8503937</x:f>
        <x:v>1512.040044720496</x:v>
      </x:c>
      <x:c r="AK11" s="16" t="n">
        <x:f>AH11*745.6998716/(G11*0.45359237*C11*0.44704)</x:f>
        <x:v>0.5435501284732124</x:v>
      </x:c>
      <x:c r="AL11" s="16" t="n">
        <x:f>SQRT(2*G11*4.4482216153/(1.225*L11*'Assumptions'!$C$11))/0.44704</x:f>
        <x:v>98.46385799361909</x:v>
      </x:c>
      <x:c r="AM11" s="16" t="n">
        <x:f>MIN('Assumptions'!$C$12,'Assumptions'!$C$11*K11*L11/(G11*4.4482216153))</x:f>
        <x:v>6</x:v>
      </x:c>
      <x:c r="AN11" s="16" t="n">
        <x:f>IF(AE11*745.6998716/(C11*0.44704)-(V11+X11)*4.4482216153&lt;W11*4.4482216153,"n.a.",MIN(AM11,SQRT((AE11*745.6998716/(C11*0.44704)-(V11+X11)*4.4482216153)/(W11*4.4482216153))))</x:f>
        <x:v>2.4638508884970305</x:v>
      </x:c>
      <x:c r="AO11" s="16" t="n">
        <x:f>IF(AM11&gt;1,9.80665*SQRT(AM11^2-1)/(C11*0.44704)*180/PI(),"n.a.")</x:f>
        <x:v>23.986630873435494</x:v>
      </x:c>
      <x:c r="AP11" s="16" t="n">
        <x:f>IF(ISNUMBER(AN11),IF(AN11&gt;1,9.80665*SQRT(AN11^2-1)/(C11*0.44704)*180/PI(),"n.a."),"n.a.")</x:f>
        <x:v>9.129841630822673</x:v>
      </x:c>
      <x:c r="AQ11" s="16" t="n">
        <x:f>IF(AM11&gt;1,(C11*0.44704)^2/(9.80665*SQRT(AM11^2-1)),"n.a.")</x:f>
        <x:v>331.02550652861004</x:v>
      </x:c>
      <x:c r="AR11" s="16" t="n">
        <x:f>IF(ISNUMBER(AN11),IF(AN11&gt;1,(C11*0.44704)^2/(9.80665*SQRT(AN11^2-1)),"n.a."),"n.a.")</x:f>
        <x:v>869.695987714335</x:v>
      </x:c>
      <x:c r="AS11" s="6" t="str">
        <x:f>IF(I11&gt;=AL11,"Within modeled CLmax","Below modeled stall")</x:f>
        <x:v>Within modeled CLmax</x:v>
      </x:c>
      <x:c r="AT11" s="6" t="str">
        <x:v>D: aero and eta estimated</x:v>
      </x:c>
      <x:c r="AU11" s="6" t="str">
        <x:v>Fixed BHP node snapshot; no source-backed 6G/CLmax/eta map</x:v>
      </x:c>
    </x:row>
    <x:row r="12">
      <x:c r="B12" s="10" t="n">
        <x:v>0</x:v>
      </x:c>
      <x:c r="C12" s="10" t="n">
        <x:v>340</x:v>
      </x:c>
      <x:c r="D12" s="6" t="str">
        <x:v>67inHg</x:v>
      </x:c>
      <x:c r="E12" s="6" t="str">
        <x:v>low</x:v>
      </x:c>
      <x:c r="F12" s="6" t="n">
        <x:v>1580</x:v>
      </x:c>
      <x:c r="G12" s="6" t="n">
        <x:f>'Assumptions'!$C$5</x:f>
        <x:v>9240</x:v>
      </x:c>
      <x:c r="H12" s="11" t="n">
        <x:f>(101325*((288.15-0.0065*B12*0.3048)/288.15)^5.2558797)/(287.05287*(288.15-0.0065*B12*0.3048))</x:f>
        <x:v>1.225000018124288</x:v>
      </x:c>
      <x:c r="I12" s="11" t="n">
        <x:f>C12*SQRT(H12/1.225)</x:f>
        <x:v>340.00000251520726</x:v>
      </x:c>
      <x:c r="J12" s="11" t="n">
        <x:f>C12*0.44704/SQRT(1.4*287.05287*(288.15-0.0065*B12*0.3048))</x:f>
        <x:v>0.4466537915690337</x:v>
      </x:c>
      <x:c r="K12" s="12" t="n">
        <x:f>0.5*H12*(C12*0.44704)^2</x:f>
        <x:v>14150.008554442142</x:v>
      </x:c>
      <x:c r="L12" s="11" t="n">
        <x:f>'Assumptions'!$C$6*0.09290304</x:f>
        <x:v>21.646408320000003</x:v>
      </x:c>
      <x:c r="M12" s="11" t="n">
        <x:f>('Assumptions'!$C$7*0.3048)^2/L12</x:f>
        <x:v>5.875536480686696</x:v>
      </x:c>
      <x:c r="N12" s="11" t="n">
        <x:f>1/(PI()*M12*'Assumptions'!$C$9)</x:f>
        <x:v>0.06771932385027686</x:v>
      </x:c>
      <x:c r="O12" s="13" t="n">
        <x:f>G12/'Assumptions'!$C$6</x:f>
        <x:v>39.65665236051502</x:v>
      </x:c>
      <x:c r="P12" s="14" t="n">
        <x:f>F12/G12</x:f>
        <x:v>0.170995670995671</x:v>
      </x:c>
      <x:c r="Q12" s="15" t="n">
        <x:f>G12*4.4482216153/(K12*L12)</x:f>
        <x:v>0.1341886669556381</x:v>
      </x:c>
      <x:c r="R12" s="15" t="n">
        <x:f>'Assumptions'!$C$8+'Assumptions'!$C$13</x:f>
        <x:v>0.016</x:v>
      </x:c>
      <x:c r="S12" s="15" t="n">
        <x:f>N12*Q12^2</x:f>
        <x:v>0.0012193946643830245</x:v>
      </x:c>
      <x:c r="T12" s="15" t="n">
        <x:f>'Assumptions'!$C$14</x:f>
        <x:v>0</x:v>
      </x:c>
      <x:c r="U12" s="15" t="n">
        <x:f>SUM(R12:T12)</x:f>
        <x:v>0.017219394664383023</x:v>
      </x:c>
      <x:c r="V12" s="16" t="n">
        <x:f>K12*L12*R12/4.4482216153</x:f>
        <x:v>1101.73238436652</x:v>
      </x:c>
      <x:c r="W12" s="16" t="n">
        <x:f>K12*L12*S12/4.4482216153</x:f>
        <x:v>83.96541194215762</x:v>
      </x:c>
      <x:c r="X12" s="16" t="n">
        <x:f>K12*L12*T12/4.4482216153</x:f>
        <x:v>0</x:v>
      </x:c>
      <x:c r="Y12" s="16" t="n">
        <x:f>SUM(V12:X12)</x:f>
        <x:v>1185.6977963086774</x:v>
      </x:c>
      <x:c r="Z12" s="9" t="n">
        <x:f>V12/Y12</x:f>
        <x:v>0.9291848123496904</x:v>
      </x:c>
      <x:c r="AA12" s="9" t="n">
        <x:f>W12/Y12</x:f>
        <x:v>0.07081518765030964</x:v>
      </x:c>
      <x:c r="AB12" s="13" t="n">
        <x:f>G12/Y12</x:f>
        <x:v>7.792879457789356</x:v>
      </x:c>
      <x:c r="AC12" s="11" t="n">
        <x:f>'Assumptions'!$C$10</x:f>
        <x:v>0.8</x:v>
      </x:c>
      <x:c r="AD12" s="16" t="n">
        <x:f>F12</x:f>
        <x:v>1580</x:v>
      </x:c>
      <x:c r="AE12" s="16" t="n">
        <x:f>AD12*AC12</x:f>
        <x:v>1264</x:v>
      </x:c>
      <x:c r="AF12" s="16" t="n">
        <x:f>Y12*4.4482216153*(C12*0.44704)/745.6998716</x:f>
        <x:v>1075.0326686371868</x:v>
      </x:c>
      <x:c r="AG12" s="16" t="n">
        <x:f>AF12/AC12</x:f>
        <x:v>1343.7908357964834</x:v>
      </x:c>
      <x:c r="AH12" s="16" t="n">
        <x:f>AE12-AF12</x:f>
        <x:v>188.96733136281318</x:v>
      </x:c>
      <x:c r="AI12" s="16" t="n">
        <x:f>AH12*745.6998716/(G12*4.4482216153)</x:f>
        <x:v>3.4284072976335382</x:v>
      </x:c>
      <x:c r="AJ12" s="16" t="n">
        <x:f>AI12*196.8503937</x:f>
        <x:v>674.8833263031152</x:v>
      </x:c>
      <x:c r="AK12" s="16" t="n">
        <x:f>AH12*745.6998716/(G12*0.45359237*C12*0.44704)</x:f>
        <x:v>0.22120135601523014</x:v>
      </x:c>
      <x:c r="AL12" s="16" t="n">
        <x:f>SQRT(2*G12*4.4482216153/(1.225*L12*'Assumptions'!$C$11))/0.44704</x:f>
        <x:v>98.46385799361909</x:v>
      </x:c>
      <x:c r="AM12" s="16" t="n">
        <x:f>MIN('Assumptions'!$C$12,'Assumptions'!$C$11*K12*L12/(G12*4.4482216153))</x:f>
        <x:v>6</x:v>
      </x:c>
      <x:c r="AN12" s="16" t="n">
        <x:f>IF(AE12*745.6998716/(C12*0.44704)-(V12+X12)*4.4482216153&lt;W12*4.4482216153,"n.a.",MIN(AM12,SQRT((AE12*745.6998716/(C12*0.44704)-(V12+X12)*4.4482216153)/(W12*4.4482216153))))</x:f>
        <x:v>1.8660682680979994</x:v>
      </x:c>
      <x:c r="AO12" s="16" t="n">
        <x:f>IF(AM12&gt;1,9.80665*SQRT(AM12^2-1)/(C12*0.44704)*180/PI(),"n.a.")</x:f>
        <x:v>21.87016344342648</x:v>
      </x:c>
      <x:c r="AP12" s="16" t="n">
        <x:f>IF(ISNUMBER(AN12),IF(AN12&gt;1,9.80665*SQRT(AN12^2-1)/(C12*0.44704)*180/PI(),"n.a."),"n.a.")</x:f>
        <x:v>5.824214152325536</x:v>
      </x:c>
      <x:c r="AQ12" s="16" t="n">
        <x:f>IF(AM12&gt;1,(C12*0.44704)^2/(9.80665*SQRT(AM12^2-1)),"n.a.")</x:f>
        <x:v>398.19509422172024</x:v>
      </x:c>
      <x:c r="AR12" s="16" t="n">
        <x:f>IF(ISNUMBER(AN12),IF(AN12&gt;1,(C12*0.44704)^2/(9.80665*SQRT(AN12^2-1)),"n.a."),"n.a.")</x:f>
        <x:v>1495.2389395782086</x:v>
      </x:c>
      <x:c r="AS12" s="6" t="str">
        <x:f>IF(I12&gt;=AL12,"Within modeled CLmax","Below modeled stall")</x:f>
        <x:v>Within modeled CLmax</x:v>
      </x:c>
      <x:c r="AT12" s="6" t="str">
        <x:v>D: aero and eta estimated</x:v>
      </x:c>
      <x:c r="AU12" s="6" t="str">
        <x:v>Fixed BHP node snapshot; no source-backed 6G/CLmax/eta map</x:v>
      </x:c>
    </x:row>
    <x:row r="13">
      <x:c r="B13" s="10" t="n">
        <x:v>0</x:v>
      </x:c>
      <x:c r="C13" s="10" t="n">
        <x:v>370</x:v>
      </x:c>
      <x:c r="D13" s="6" t="str">
        <x:v>67inHg</x:v>
      </x:c>
      <x:c r="E13" s="6" t="str">
        <x:v>low</x:v>
      </x:c>
      <x:c r="F13" s="6" t="n">
        <x:v>1580</x:v>
      </x:c>
      <x:c r="G13" s="6" t="n">
        <x:f>'Assumptions'!$C$5</x:f>
        <x:v>9240</x:v>
      </x:c>
      <x:c r="H13" s="11" t="n">
        <x:f>(101325*((288.15-0.0065*B13*0.3048)/288.15)^5.2558797)/(287.05287*(288.15-0.0065*B13*0.3048))</x:f>
        <x:v>1.225000018124288</x:v>
      </x:c>
      <x:c r="I13" s="11" t="n">
        <x:f>C13*SQRT(H13/1.225)</x:f>
        <x:v>370.0000027371373</x:v>
      </x:c>
      <x:c r="J13" s="11" t="n">
        <x:f>C13*0.44704/SQRT(1.4*287.05287*(288.15-0.0065*B13*0.3048))</x:f>
        <x:v>0.4860644202368896</x:v>
      </x:c>
      <x:c r="K13" s="12" t="n">
        <x:f>0.5*H13*(C13*0.44704)^2</x:f>
        <x:v>16757.23331404091</x:v>
      </x:c>
      <x:c r="L13" s="11" t="n">
        <x:f>'Assumptions'!$C$6*0.09290304</x:f>
        <x:v>21.646408320000003</x:v>
      </x:c>
      <x:c r="M13" s="11" t="n">
        <x:f>('Assumptions'!$C$7*0.3048)^2/L13</x:f>
        <x:v>5.875536480686696</x:v>
      </x:c>
      <x:c r="N13" s="11" t="n">
        <x:f>1/(PI()*M13*'Assumptions'!$C$9)</x:f>
        <x:v>0.06771932385027686</x:v>
      </x:c>
      <x:c r="O13" s="13" t="n">
        <x:f>G13/'Assumptions'!$C$6</x:f>
        <x:v>39.65665236051502</x:v>
      </x:c>
      <x:c r="P13" s="14" t="n">
        <x:f>F13/G13</x:f>
        <x:v>0.170995670995671</x:v>
      </x:c>
      <x:c r="Q13" s="15" t="n">
        <x:f>G13*4.4482216153/(K13*L13)</x:f>
        <x:v>0.11331051789679886</x:v>
      </x:c>
      <x:c r="R13" s="15" t="n">
        <x:f>'Assumptions'!$C$8+'Assumptions'!$C$13</x:f>
        <x:v>0.016</x:v>
      </x:c>
      <x:c r="S13" s="15" t="n">
        <x:f>N13*Q13^2</x:f>
        <x:v>0.0008694669178490818</x:v>
      </x:c>
      <x:c r="T13" s="15" t="n">
        <x:f>'Assumptions'!$C$14</x:f>
        <x:v>0</x:v>
      </x:c>
      <x:c r="U13" s="15" t="n">
        <x:f>SUM(R13:T13)</x:f>
        <x:v>0.01686946691784908</x:v>
      </x:c>
      <x:c r="V13" s="16" t="n">
        <x:f>K13*L13*R13/4.4482216153</x:f>
        <x:v>1304.733247575922</x:v>
      </x:c>
      <x:c r="W13" s="16" t="n">
        <x:f>K13*L13*S13/4.4482216153</x:f>
        <x:v>70.90139971156624</x:v>
      </x:c>
      <x:c r="X13" s="16" t="n">
        <x:f>K13*L13*T13/4.4482216153</x:f>
        <x:v>0</x:v>
      </x:c>
      <x:c r="Y13" s="16" t="n">
        <x:f>SUM(V13:X13)</x:f>
        <x:v>1375.6346472874882</x:v>
      </x:c>
      <x:c r="Z13" s="9" t="n">
        <x:f>V13/Y13</x:f>
        <x:v>0.948459134951732</x:v>
      </x:c>
      <x:c r="AA13" s="9" t="n">
        <x:f>W13/Y13</x:f>
        <x:v>0.05154086504826805</x:v>
      </x:c>
      <x:c r="AB13" s="13" t="n">
        <x:f>G13/Y13</x:f>
        <x:v>6.716899736583162</x:v>
      </x:c>
      <x:c r="AC13" s="11" t="n">
        <x:f>'Assumptions'!$C$10</x:f>
        <x:v>0.8</x:v>
      </x:c>
      <x:c r="AD13" s="16" t="n">
        <x:f>F13</x:f>
        <x:v>1580</x:v>
      </x:c>
      <x:c r="AE13" s="16" t="n">
        <x:f>AD13*AC13</x:f>
        <x:v>1264</x:v>
      </x:c>
      <x:c r="AF13" s="16" t="n">
        <x:f>Y13*4.4482216153*(C13*0.44704)/745.6998716</x:f>
        <x:v>1357.292851970103</x:v>
      </x:c>
      <x:c r="AG13" s="16" t="n">
        <x:f>AF13/AC13</x:f>
        <x:v>1696.6160649626286</x:v>
      </x:c>
      <x:c r="AH13" s="16" t="n">
        <x:f>AE13-AF13</x:f>
        <x:v>-93.2928519701029</x:v>
      </x:c>
      <x:c r="AI13" s="16" t="n">
        <x:f>AH13*745.6998716/(G13*4.4482216153)</x:f>
        <x:v>-1.6925988857685088</x:v>
      </x:c>
      <x:c r="AJ13" s="16" t="n">
        <x:f>AI13*196.8503937</x:f>
        <x:v>-333.1887570397123</x:v>
      </x:c>
      <x:c r="AK13" s="16" t="n">
        <x:f>AH13*745.6998716/(G13*0.45359237*C13*0.44704)</x:f>
        <x:v>-0.10035213526614188</x:v>
      </x:c>
      <x:c r="AL13" s="16" t="n">
        <x:f>SQRT(2*G13*4.4482216153/(1.225*L13*'Assumptions'!$C$11))/0.44704</x:f>
        <x:v>98.46385799361909</x:v>
      </x:c>
      <x:c r="AM13" s="16" t="n">
        <x:f>MIN('Assumptions'!$C$12,'Assumptions'!$C$11*K13*L13/(G13*4.4482216153))</x:f>
        <x:v>6</x:v>
      </x:c>
      <x:c r="AN13" s="16" t="str">
        <x:f>IF(AE13*745.6998716/(C13*0.44704)-(V13+X13)*4.4482216153&lt;W13*4.4482216153,"n.a.",MIN(AM13,SQRT((AE13*745.6998716/(C13*0.44704)-(V13+X13)*4.4482216153)/(W13*4.4482216153))))</x:f>
        <x:v>n.a.</x:v>
      </x:c>
      <x:c r="AO13" s="16" t="n">
        <x:f>IF(AM13&gt;1,9.80665*SQRT(AM13^2-1)/(C13*0.44704)*180/PI(),"n.a.")</x:f>
        <x:v>20.09690694801352</x:v>
      </x:c>
      <x:c r="AP13" s="16" t="str">
        <x:f>IF(ISNUMBER(AN13),IF(AN13&gt;1,9.80665*SQRT(AN13^2-1)/(C13*0.44704)*180/PI(),"n.a."),"n.a.")</x:f>
        <x:v>n.a.</x:v>
      </x:c>
      <x:c r="AQ13" s="16" t="n">
        <x:f>IF(AM13&gt;1,(C13*0.44704)^2/(9.80665*SQRT(AM13^2-1)),"n.a.")</x:f>
        <x:v>471.56495154804065</x:v>
      </x:c>
      <x:c r="AR13" s="16" t="str">
        <x:f>IF(ISNUMBER(AN13),IF(AN13&gt;1,(C13*0.44704)^2/(9.80665*SQRT(AN13^2-1)),"n.a."),"n.a.")</x:f>
        <x:v>n.a.</x:v>
      </x:c>
      <x:c r="AS13" s="6" t="str">
        <x:f>IF(I13&gt;=AL13,"Within modeled CLmax","Below modeled stall")</x:f>
        <x:v>Within modeled CLmax</x:v>
      </x:c>
      <x:c r="AT13" s="6" t="str">
        <x:v>D: aero and eta estimated</x:v>
      </x:c>
      <x:c r="AU13" s="6" t="str">
        <x:v>Fixed BHP node snapshot; no source-backed 6G/CLmax/eta map</x:v>
      </x:c>
    </x:row>
    <x:row r="14">
      <x:c r="B14" s="10" t="n">
        <x:v>0</x:v>
      </x:c>
      <x:c r="C14" s="10" t="n">
        <x:v>400</x:v>
      </x:c>
      <x:c r="D14" s="6" t="str">
        <x:v>67inHg</x:v>
      </x:c>
      <x:c r="E14" s="6" t="str">
        <x:v>low</x:v>
      </x:c>
      <x:c r="F14" s="6" t="n">
        <x:v>1580</x:v>
      </x:c>
      <x:c r="G14" s="6" t="n">
        <x:f>'Assumptions'!$C$5</x:f>
        <x:v>9240</x:v>
      </x:c>
      <x:c r="H14" s="11" t="n">
        <x:f>(101325*((288.15-0.0065*B14*0.3048)/288.15)^5.2558797)/(287.05287*(288.15-0.0065*B14*0.3048))</x:f>
        <x:v>1.225000018124288</x:v>
      </x:c>
      <x:c r="I14" s="11" t="n">
        <x:f>C14*SQRT(H14/1.225)</x:f>
        <x:v>400.0000029590674</x:v>
      </x:c>
      <x:c r="J14" s="11" t="n">
        <x:f>C14*0.44704/SQRT(1.4*287.05287*(288.15-0.0065*B14*0.3048))</x:f>
        <x:v>0.5254750489047455</x:v>
      </x:c>
      <x:c r="K14" s="12" t="n">
        <x:f>0.5*H14*(C14*0.44704)^2</x:f>
        <x:v>19584.78692656352</x:v>
      </x:c>
      <x:c r="L14" s="11" t="n">
        <x:f>'Assumptions'!$C$6*0.09290304</x:f>
        <x:v>21.646408320000003</x:v>
      </x:c>
      <x:c r="M14" s="11" t="n">
        <x:f>('Assumptions'!$C$7*0.3048)^2/L14</x:f>
        <x:v>5.875536480686696</x:v>
      </x:c>
      <x:c r="N14" s="11" t="n">
        <x:f>1/(PI()*M14*'Assumptions'!$C$9)</x:f>
        <x:v>0.06771932385027686</x:v>
      </x:c>
      <x:c r="O14" s="13" t="n">
        <x:f>G14/'Assumptions'!$C$6</x:f>
        <x:v>39.65665236051502</x:v>
      </x:c>
      <x:c r="P14" s="14" t="n">
        <x:f>F14/G14</x:f>
        <x:v>0.170995670995671</x:v>
      </x:c>
      <x:c r="Q14" s="15" t="n">
        <x:f>G14*4.4482216153/(K14*L14)</x:f>
        <x:v>0.09695131187544852</x:v>
      </x:c>
      <x:c r="R14" s="15" t="n">
        <x:f>'Assumptions'!$C$8+'Assumptions'!$C$13</x:f>
        <x:v>0.016</x:v>
      </x:c>
      <x:c r="S14" s="15" t="n">
        <x:f>N14*Q14^2</x:f>
        <x:v>0.0006365316360245909</x:v>
      </x:c>
      <x:c r="T14" s="15" t="n">
        <x:f>'Assumptions'!$C$14</x:f>
        <x:v>0</x:v>
      </x:c>
      <x:c r="U14" s="15" t="n">
        <x:f>SUM(R14:T14)</x:f>
        <x:v>0.01663653163602459</x:v>
      </x:c>
      <x:c r="V14" s="16" t="n">
        <x:f>K14*L14*R14/4.4482216153</x:f>
        <x:v>1524.8891133100624</x:v>
      </x:c>
      <x:c r="W14" s="16" t="n">
        <x:f>K14*L14*S14/4.4482216153</x:f>
        <x:v>60.66501012820886</x:v>
      </x:c>
      <x:c r="X14" s="16" t="n">
        <x:f>K14*L14*T14/4.4482216153</x:f>
        <x:v>0</x:v>
      </x:c>
      <x:c r="Y14" s="16" t="n">
        <x:f>SUM(V14:X14)</x:f>
        <x:v>1585.5541234382713</x:v>
      </x:c>
      <x:c r="Z14" s="9" t="n">
        <x:f>V14/Y14</x:f>
        <x:v>0.9617389219128912</x:v>
      </x:c>
      <x:c r="AA14" s="9" t="n">
        <x:f>W14/Y14</x:f>
        <x:v>0.038261078087108685</x:v>
      </x:c>
      <x:c r="AB14" s="13" t="n">
        <x:f>G14/Y14</x:f>
        <x:v>5.827615635070896</x:v>
      </x:c>
      <x:c r="AC14" s="11" t="n">
        <x:f>'Assumptions'!$C$10</x:f>
        <x:v>0.8</x:v>
      </x:c>
      <x:c r="AD14" s="16" t="n">
        <x:f>F14</x:f>
        <x:v>1580</x:v>
      </x:c>
      <x:c r="AE14" s="16" t="n">
        <x:f>AD14*AC14</x:f>
        <x:v>1264</x:v>
      </x:c>
      <x:c r="AF14" s="16" t="n">
        <x:f>Y14*4.4482216153*(C14*0.44704)/745.6998716</x:f>
        <x:v>1691.257731642296</x:v>
      </x:c>
      <x:c r="AG14" s="16" t="n">
        <x:f>AF14/AC14</x:f>
        <x:v>2114.0721645528697</x:v>
      </x:c>
      <x:c r="AH14" s="16" t="n">
        <x:f>AE14-AF14</x:f>
        <x:v>-427.257731642296</x:v>
      </x:c>
      <x:c r="AI14" s="16" t="n">
        <x:f>AH14*745.6998716/(G14*4.4482216153)</x:f>
        <x:v>-7.751675988482841</x:v>
      </x:c>
      <x:c r="AJ14" s="16" t="n">
        <x:f>AI14*196.8503937</x:f>
        <x:v>-1525.920470167684</x:v>
      </x:c>
      <x:c r="AK14" s="16" t="n">
        <x:f>AH14*745.6998716/(G14*0.45359237*C14*0.44704)</x:f>
        <x:v>-0.42511840849325716</x:v>
      </x:c>
      <x:c r="AL14" s="16" t="n">
        <x:f>SQRT(2*G14*4.4482216153/(1.225*L14*'Assumptions'!$C$11))/0.44704</x:f>
        <x:v>98.46385799361909</x:v>
      </x:c>
      <x:c r="AM14" s="16" t="n">
        <x:f>MIN('Assumptions'!$C$12,'Assumptions'!$C$11*K14*L14/(G14*4.4482216153))</x:f>
        <x:v>6</x:v>
      </x:c>
      <x:c r="AN14" s="16" t="str">
        <x:f>IF(AE14*745.6998716/(C14*0.44704)-(V14+X14)*4.4482216153&lt;W14*4.4482216153,"n.a.",MIN(AM14,SQRT((AE14*745.6998716/(C14*0.44704)-(V14+X14)*4.4482216153)/(W14*4.4482216153))))</x:f>
        <x:v>n.a.</x:v>
      </x:c>
      <x:c r="AO14" s="16" t="n">
        <x:f>IF(AM14&gt;1,9.80665*SQRT(AM14^2-1)/(C14*0.44704)*180/PI(),"n.a.")</x:f>
        <x:v>18.589638926912507</x:v>
      </x:c>
      <x:c r="AP14" s="16" t="str">
        <x:f>IF(ISNUMBER(AN14),IF(AN14&gt;1,9.80665*SQRT(AN14^2-1)/(C14*0.44704)*180/PI(),"n.a."),"n.a.")</x:f>
        <x:v>n.a.</x:v>
      </x:c>
      <x:c r="AQ14" s="16" t="n">
        <x:f>IF(AM14&gt;1,(C14*0.44704)^2/(9.80665*SQRT(AM14^2-1)),"n.a.")</x:f>
        <x:v>551.1350785075714</x:v>
      </x:c>
      <x:c r="AR14" s="16" t="str">
        <x:f>IF(ISNUMBER(AN14),IF(AN14&gt;1,(C14*0.44704)^2/(9.80665*SQRT(AN14^2-1)),"n.a."),"n.a.")</x:f>
        <x:v>n.a.</x:v>
      </x:c>
      <x:c r="AS14" s="6" t="str">
        <x:f>IF(I14&gt;=AL14,"Within modeled CLmax","Below modeled stall")</x:f>
        <x:v>Within modeled CLmax</x:v>
      </x:c>
      <x:c r="AT14" s="6" t="str">
        <x:v>D: aero and eta estimated</x:v>
      </x:c>
      <x:c r="AU14" s="6" t="str">
        <x:v>Fixed BHP node snapshot; no source-backed 6G/CLmax/eta map</x:v>
      </x:c>
    </x:row>
    <x:row r="15">
      <x:c r="B15" s="10" t="n">
        <x:v>0</x:v>
      </x:c>
      <x:c r="C15" s="10" t="n">
        <x:v>430</x:v>
      </x:c>
      <x:c r="D15" s="6" t="str">
        <x:v>67inHg</x:v>
      </x:c>
      <x:c r="E15" s="6" t="str">
        <x:v>low</x:v>
      </x:c>
      <x:c r="F15" s="6" t="n">
        <x:v>1580</x:v>
      </x:c>
      <x:c r="G15" s="6" t="n">
        <x:f>'Assumptions'!$C$5</x:f>
        <x:v>9240</x:v>
      </x:c>
      <x:c r="H15" s="11" t="n">
        <x:f>(101325*((288.15-0.0065*B15*0.3048)/288.15)^5.2558797)/(287.05287*(288.15-0.0065*B15*0.3048))</x:f>
        <x:v>1.225000018124288</x:v>
      </x:c>
      <x:c r="I15" s="11" t="n">
        <x:f>C15*SQRT(H15/1.225)</x:f>
        <x:v>430.00000318099745</x:v>
      </x:c>
      <x:c r="J15" s="11" t="n">
        <x:f>C15*0.44704/SQRT(1.4*287.05287*(288.15-0.0065*B15*0.3048))</x:f>
        <x:v>0.5648856775726014</x:v>
      </x:c>
      <x:c r="K15" s="12" t="n">
        <x:f>0.5*H15*(C15*0.44704)^2</x:f>
        <x:v>22632.669392009968</x:v>
      </x:c>
      <x:c r="L15" s="11" t="n">
        <x:f>'Assumptions'!$C$6*0.09290304</x:f>
        <x:v>21.646408320000003</x:v>
      </x:c>
      <x:c r="M15" s="11" t="n">
        <x:f>('Assumptions'!$C$7*0.3048)^2/L15</x:f>
        <x:v>5.875536480686696</x:v>
      </x:c>
      <x:c r="N15" s="11" t="n">
        <x:f>1/(PI()*M15*'Assumptions'!$C$9)</x:f>
        <x:v>0.06771932385027686</x:v>
      </x:c>
      <x:c r="O15" s="13" t="n">
        <x:f>G15/'Assumptions'!$C$6</x:f>
        <x:v>39.65665236051502</x:v>
      </x:c>
      <x:c r="P15" s="14" t="n">
        <x:f>F15/G15</x:f>
        <x:v>0.170995670995671</x:v>
      </x:c>
      <x:c r="Q15" s="15" t="n">
        <x:f>G15*4.4482216153/(K15*L15)</x:f>
        <x:v>0.08389513196361148</x:v>
      </x:c>
      <x:c r="R15" s="15" t="n">
        <x:f>'Assumptions'!$C$8+'Assumptions'!$C$13</x:f>
        <x:v>0.016</x:v>
      </x:c>
      <x:c r="S15" s="15" t="n">
        <x:f>N15*Q15^2</x:f>
        <x:v>0.0004766352262746363</x:v>
      </x:c>
      <x:c r="T15" s="15" t="n">
        <x:f>'Assumptions'!$C$14</x:f>
        <x:v>0</x:v>
      </x:c>
      <x:c r="U15" s="15" t="n">
        <x:f>SUM(R15:T15)</x:f>
        <x:v>0.016476635226274638</x:v>
      </x:c>
      <x:c r="V15" s="16" t="n">
        <x:f>K15*L15*R15/4.4482216153</x:f>
        <x:v>1762.1999815689408</x:v>
      </x:c>
      <x:c r="W15" s="16" t="n">
        <x:f>K15*L15*S15/4.4482216153</x:f>
        <x:v>52.49541168476699</x:v>
      </x:c>
      <x:c r="X15" s="16" t="n">
        <x:f>K15*L15*T15/4.4482216153</x:f>
        <x:v>0</x:v>
      </x:c>
      <x:c r="Y15" s="16" t="n">
        <x:f>SUM(V15:X15)</x:f>
        <x:v>1814.6953932537078</x:v>
      </x:c>
      <x:c r="Z15" s="9" t="n">
        <x:f>V15/Y15</x:f>
        <x:v>0.9710720532603304</x:v>
      </x:c>
      <x:c r="AA15" s="9" t="n">
        <x:f>W15/Y15</x:f>
        <x:v>0.028927946739669575</x:v>
      </x:c>
      <x:c r="AB15" s="13" t="n">
        <x:f>G15/Y15</x:f>
        <x:v>5.091763628403161</x:v>
      </x:c>
      <x:c r="AC15" s="11" t="n">
        <x:f>'Assumptions'!$C$10</x:f>
        <x:v>0.8</x:v>
      </x:c>
      <x:c r="AD15" s="16" t="n">
        <x:f>F15</x:f>
        <x:v>1580</x:v>
      </x:c>
      <x:c r="AE15" s="16" t="n">
        <x:f>AD15*AC15</x:f>
        <x:v>1264</x:v>
      </x:c>
      <x:c r="AF15" s="16" t="n">
        <x:f>Y15*4.4482216153*(C15*0.44704)/745.6998716</x:f>
        <x:v>2080.850717566588</x:v>
      </x:c>
      <x:c r="AG15" s="16" t="n">
        <x:f>AF15/AC15</x:f>
        <x:v>2601.063396958235</x:v>
      </x:c>
      <x:c r="AH15" s="16" t="n">
        <x:f>AE15-AF15</x:f>
        <x:v>-816.8507175665882</x:v>
      </x:c>
      <x:c r="AI15" s="16" t="n">
        <x:f>AH15*745.6998716/(G15*4.4482216153)</x:f>
        <x:v>-14.820005876071717</x:v>
      </x:c>
      <x:c r="AJ15" s="16" t="n">
        <x:f>AI15*196.8503937</x:f>
        <x:v>-2917.323991341031</x:v>
      </x:c>
      <x:c r="AK15" s="16" t="n">
        <x:f>AH15*745.6998716/(G15*0.45359237*C15*0.44704)</x:f>
        <x:v>-0.7560564302339589</x:v>
      </x:c>
      <x:c r="AL15" s="16" t="n">
        <x:f>SQRT(2*G15*4.4482216153/(1.225*L15*'Assumptions'!$C$11))/0.44704</x:f>
        <x:v>98.46385799361909</x:v>
      </x:c>
      <x:c r="AM15" s="16" t="n">
        <x:f>MIN('Assumptions'!$C$12,'Assumptions'!$C$11*K15*L15/(G15*4.4482216153))</x:f>
        <x:v>6</x:v>
      </x:c>
      <x:c r="AN15" s="16" t="str">
        <x:f>IF(AE15*745.6998716/(C15*0.44704)-(V15+X15)*4.4482216153&lt;W15*4.4482216153,"n.a.",MIN(AM15,SQRT((AE15*745.6998716/(C15*0.44704)-(V15+X15)*4.4482216153)/(W15*4.4482216153))))</x:f>
        <x:v>n.a.</x:v>
      </x:c>
      <x:c r="AO15" s="16" t="n">
        <x:f>IF(AM15&gt;1,9.80665*SQRT(AM15^2-1)/(C15*0.44704)*180/PI(),"n.a.")</x:f>
        <x:v>17.2926873738721</x:v>
      </x:c>
      <x:c r="AP15" s="16" t="str">
        <x:f>IF(ISNUMBER(AN15),IF(AN15&gt;1,9.80665*SQRT(AN15^2-1)/(C15*0.44704)*180/PI(),"n.a."),"n.a.")</x:f>
        <x:v>n.a.</x:v>
      </x:c>
      <x:c r="AQ15" s="16" t="n">
        <x:f>IF(AM15&gt;1,(C15*0.44704)^2/(9.80665*SQRT(AM15^2-1)),"n.a.")</x:f>
        <x:v>636.9054751003122</x:v>
      </x:c>
      <x:c r="AR15" s="16" t="str">
        <x:f>IF(ISNUMBER(AN15),IF(AN15&gt;1,(C15*0.44704)^2/(9.80665*SQRT(AN15^2-1)),"n.a."),"n.a.")</x:f>
        <x:v>n.a.</x:v>
      </x:c>
      <x:c r="AS15" s="6" t="str">
        <x:f>IF(I15&gt;=AL15,"Within modeled CLmax","Below modeled stall")</x:f>
        <x:v>Within modeled CLmax</x:v>
      </x:c>
      <x:c r="AT15" s="6" t="str">
        <x:v>D: aero and eta estimated</x:v>
      </x:c>
      <x:c r="AU15" s="6" t="str">
        <x:v>Fixed BHP node snapshot; no source-backed 6G/CLmax/eta map</x:v>
      </x:c>
    </x:row>
    <x:row r="16">
      <x:c r="B16" s="10" t="n">
        <x:v>10300</x:v>
      </x:c>
      <x:c r="C16" s="10" t="n">
        <x:v>130</x:v>
      </x:c>
      <x:c r="D16" s="6" t="str">
        <x:v>67inHg</x:v>
      </x:c>
      <x:c r="E16" s="6" t="str">
        <x:v>low</x:v>
      </x:c>
      <x:c r="F16" s="6" t="n">
        <x:v>1695</x:v>
      </x:c>
      <x:c r="G16" s="6" t="n">
        <x:f>'Assumptions'!$C$5</x:f>
        <x:v>9240</x:v>
      </x:c>
      <x:c r="H16" s="11" t="n">
        <x:f>(101325*((288.15-0.0065*B16*0.3048)/288.15)^5.2558797)/(287.05287*(288.15-0.0065*B16*0.3048))</x:f>
        <x:v>0.8961399291288429</x:v>
      </x:c>
      <x:c r="I16" s="11" t="n">
        <x:f>C16*SQRT(H16/1.225)</x:f>
        <x:v>111.1893578899599</x:v>
      </x:c>
      <x:c r="J16" s="11" t="n">
        <x:f>C16*0.44704/SQRT(1.4*287.05287*(288.15-0.0065*B16*0.3048))</x:f>
        <x:v>0.17716796245363092</x:v>
      </x:c>
      <x:c r="K16" s="12" t="n">
        <x:f>0.5*H16*(C16*0.44704)^2</x:f>
        <x:v>1513.3009556996035</x:v>
      </x:c>
      <x:c r="L16" s="11" t="n">
        <x:f>'Assumptions'!$C$6*0.09290304</x:f>
        <x:v>21.646408320000003</x:v>
      </x:c>
      <x:c r="M16" s="11" t="n">
        <x:f>('Assumptions'!$C$7*0.3048)^2/L16</x:f>
        <x:v>5.875536480686696</x:v>
      </x:c>
      <x:c r="N16" s="11" t="n">
        <x:f>1/(PI()*M16*'Assumptions'!$C$9)</x:f>
        <x:v>0.06771932385027686</x:v>
      </x:c>
      <x:c r="O16" s="13" t="n">
        <x:f>G16/'Assumptions'!$C$6</x:f>
        <x:v>39.65665236051502</x:v>
      </x:c>
      <x:c r="P16" s="14" t="n">
        <x:f>F16/G16</x:f>
        <x:v>0.18344155844155843</x:v>
      </x:c>
      <x:c r="Q16" s="15" t="n">
        <x:f>G16*4.4482216153/(K16*L16)</x:f>
        <x:v>1.25472119619039</x:v>
      </x:c>
      <x:c r="R16" s="15" t="n">
        <x:f>'Assumptions'!$C$8+'Assumptions'!$C$13</x:f>
        <x:v>0.016</x:v>
      </x:c>
      <x:c r="S16" s="15" t="n">
        <x:f>N16*Q16^2</x:f>
        <x:v>0.10661224349347236</x:v>
      </x:c>
      <x:c r="T16" s="15" t="n">
        <x:f>'Assumptions'!$C$14</x:f>
        <x:v>0</x:v>
      </x:c>
      <x:c r="U16" s="15" t="n">
        <x:f>SUM(R16:T16)</x:f>
        <x:v>0.12261224349347236</x:v>
      </x:c>
      <x:c r="V16" s="16" t="n">
        <x:f>K16*L16*R16/4.4482216153</x:f>
        <x:v>117.82697259668112</x:v>
      </x:c>
      <x:c r="W16" s="16" t="n">
        <x:f>K16*L16*S16/4.4482216153</x:f>
        <x:v>785.1123682860039</x:v>
      </x:c>
      <x:c r="X16" s="16" t="n">
        <x:f>K16*L16*T16/4.4482216153</x:f>
        <x:v>0</x:v>
      </x:c>
      <x:c r="Y16" s="16" t="n">
        <x:f>SUM(V16:X16)</x:f>
        <x:v>902.939340882685</x:v>
      </x:c>
      <x:c r="Z16" s="9" t="n">
        <x:f>V16/Y16</x:f>
        <x:v>0.1304926779261796</x:v>
      </x:c>
      <x:c r="AA16" s="9" t="n">
        <x:f>W16/Y16</x:f>
        <x:v>0.8695073220738204</x:v>
      </x:c>
      <x:c r="AB16" s="13" t="n">
        <x:f>G16/Y16</x:f>
        <x:v>10.23324555885146</x:v>
      </x:c>
      <x:c r="AC16" s="11" t="n">
        <x:f>'Assumptions'!$C$10</x:f>
        <x:v>0.8</x:v>
      </x:c>
      <x:c r="AD16" s="16" t="n">
        <x:f>F16</x:f>
        <x:v>1695</x:v>
      </x:c>
      <x:c r="AE16" s="16" t="n">
        <x:f>AD16*AC16</x:f>
        <x:v>1356</x:v>
      </x:c>
      <x:c r="AF16" s="16" t="n">
        <x:f>Y16*4.4482216153*(C16*0.44704)/745.6998716</x:f>
        <x:v>313.01897150133465</x:v>
      </x:c>
      <x:c r="AG16" s="16" t="n">
        <x:f>AF16/AC16</x:f>
        <x:v>391.2737143766683</x:v>
      </x:c>
      <x:c r="AH16" s="16" t="n">
        <x:f>AE16-AF16</x:f>
        <x:v>1042.9810284986654</x:v>
      </x:c>
      <x:c r="AI16" s="16" t="n">
        <x:f>AH16*745.6998716/(G16*4.4482216153)</x:f>
        <x:v>18.922655803043376</x:v>
      </x:c>
      <x:c r="AJ16" s="16" t="n">
        <x:f>AI16*196.8503937</x:f>
        <x:v>3724.9322446786787</x:v>
      </x:c>
      <x:c r="AK16" s="16" t="n">
        <x:f>AH16*745.6998716/(G16*0.45359237*C16*0.44704)</x:f>
        <x:v>3.1931037410619454</x:v>
      </x:c>
      <x:c r="AL16" s="16" t="n">
        <x:f>SQRT(2*G16*4.4482216153/(1.225*L16*'Assumptions'!$C$11))/0.44704</x:f>
        <x:v>98.46385799361909</x:v>
      </x:c>
      <x:c r="AM16" s="16" t="n">
        <x:f>MIN('Assumptions'!$C$12,'Assumptions'!$C$11*K16*L16/(G16*4.4482216153))</x:f>
        <x:v>1.2751836861112673</x:v>
      </x:c>
      <x:c r="AN16" s="16" t="n">
        <x:f>IF(AE16*745.6998716/(C16*0.44704)-(V16+X16)*4.4482216153&lt;W16*4.4482216153,"n.a.",MIN(AM16,SQRT((AE16*745.6998716/(C16*0.44704)-(V16+X16)*4.4482216153)/(W16*4.4482216153))))</x:f>
        <x:v>1.2751836861112673</x:v>
      </x:c>
      <x:c r="AO16" s="16" t="n">
        <x:f>IF(AM16&gt;1,9.80665*SQRT(AM16^2-1)/(C16*0.44704)*180/PI(),"n.a.")</x:f>
        <x:v>7.650206280334619</x:v>
      </x:c>
      <x:c r="AP16" s="16" t="n">
        <x:f>IF(ISNUMBER(AN16),IF(AN16&gt;1,9.80665*SQRT(AN16^2-1)/(C16*0.44704)*180/PI(),"n.a."),"n.a.")</x:f>
        <x:v>7.650206280334619</x:v>
      </x:c>
      <x:c r="AQ16" s="16" t="n">
        <x:f>IF(AM16&gt;1,(C16*0.44704)^2/(9.80665*SQRT(AM16^2-1)),"n.a.")</x:f>
        <x:v>435.2504446995171</x:v>
      </x:c>
      <x:c r="AR16" s="16" t="n">
        <x:f>IF(ISNUMBER(AN16),IF(AN16&gt;1,(C16*0.44704)^2/(9.80665*SQRT(AN16^2-1)),"n.a."),"n.a.")</x:f>
        <x:v>435.2504446995171</x:v>
      </x:c>
      <x:c r="AS16" s="6" t="str">
        <x:f>IF(I16&gt;=AL16,"Within modeled CLmax","Below modeled stall")</x:f>
        <x:v>Within modeled CLmax</x:v>
      </x:c>
      <x:c r="AT16" s="6" t="str">
        <x:v>D: aero and eta estimated</x:v>
      </x:c>
      <x:c r="AU16" s="6" t="str">
        <x:v>Fixed BHP node snapshot; no source-backed 6G/CLmax/eta map</x:v>
      </x:c>
    </x:row>
    <x:row r="17">
      <x:c r="B17" s="10" t="n">
        <x:v>10300</x:v>
      </x:c>
      <x:c r="C17" s="10" t="n">
        <x:v>160</x:v>
      </x:c>
      <x:c r="D17" s="6" t="str">
        <x:v>67inHg</x:v>
      </x:c>
      <x:c r="E17" s="6" t="str">
        <x:v>low</x:v>
      </x:c>
      <x:c r="F17" s="6" t="n">
        <x:v>1695</x:v>
      </x:c>
      <x:c r="G17" s="6" t="n">
        <x:f>'Assumptions'!$C$5</x:f>
        <x:v>9240</x:v>
      </x:c>
      <x:c r="H17" s="11" t="n">
        <x:f>(101325*((288.15-0.0065*B17*0.3048)/288.15)^5.2558797)/(287.05287*(288.15-0.0065*B17*0.3048))</x:f>
        <x:v>0.8961399291288429</x:v>
      </x:c>
      <x:c r="I17" s="11" t="n">
        <x:f>C17*SQRT(H17/1.225)</x:f>
        <x:v>136.84844047995063</x:v>
      </x:c>
      <x:c r="J17" s="11" t="n">
        <x:f>C17*0.44704/SQRT(1.4*287.05287*(288.15-0.0065*B17*0.3048))</x:f>
        <x:v>0.21805287686600727</x:v>
      </x:c>
      <x:c r="K17" s="12" t="n">
        <x:f>0.5*H17*(C17*0.44704)^2</x:f>
        <x:v>2292.3375423615294</x:v>
      </x:c>
      <x:c r="L17" s="11" t="n">
        <x:f>'Assumptions'!$C$6*0.09290304</x:f>
        <x:v>21.646408320000003</x:v>
      </x:c>
      <x:c r="M17" s="11" t="n">
        <x:f>('Assumptions'!$C$7*0.3048)^2/L17</x:f>
        <x:v>5.875536480686696</x:v>
      </x:c>
      <x:c r="N17" s="11" t="n">
        <x:f>1/(PI()*M17*'Assumptions'!$C$9)</x:f>
        <x:v>0.06771932385027686</x:v>
      </x:c>
      <x:c r="O17" s="13" t="n">
        <x:f>G17/'Assumptions'!$C$6</x:f>
        <x:v>39.65665236051502</x:v>
      </x:c>
      <x:c r="P17" s="14" t="n">
        <x:f>F17/G17</x:f>
        <x:v>0.18344155844155843</x:v>
      </x:c>
      <x:c r="Q17" s="15" t="n">
        <x:f>G17*4.4482216153/(K17*L17)</x:f>
        <x:v>0.8283120396725622</x:v>
      </x:c>
      <x:c r="R17" s="15" t="n">
        <x:f>'Assumptions'!$C$8+'Assumptions'!$C$13</x:f>
        <x:v>0.016</x:v>
      </x:c>
      <x:c r="S17" s="15" t="n">
        <x:f>N17*Q17^2</x:f>
        <x:v>0.04646228464381507</x:v>
      </x:c>
      <x:c r="T17" s="15" t="n">
        <x:f>'Assumptions'!$C$14</x:f>
        <x:v>0</x:v>
      </x:c>
      <x:c r="U17" s="15" t="n">
        <x:f>SUM(R17:T17)</x:f>
        <x:v>0.06246228464381507</x:v>
      </x:c>
      <x:c r="V17" s="16" t="n">
        <x:f>K17*L17*R17/4.4482216153</x:f>
        <x:v>178.483461448227</x:v>
      </x:c>
      <x:c r="W17" s="16" t="n">
        <x:f>K17*L17*S17/4.4482216153</x:f>
        <x:v>518.2968368763073</x:v>
      </x:c>
      <x:c r="X17" s="16" t="n">
        <x:f>K17*L17*T17/4.4482216153</x:f>
        <x:v>0</x:v>
      </x:c>
      <x:c r="Y17" s="16" t="n">
        <x:f>SUM(V17:X17)</x:f>
        <x:v>696.7802983245343</x:v>
      </x:c>
      <x:c r="Z17" s="9" t="n">
        <x:f>V17/Y17</x:f>
        <x:v>0.2561545753767797</x:v>
      </x:c>
      <x:c r="AA17" s="9" t="n">
        <x:f>W17/Y17</x:f>
        <x:v>0.7438454246232202</x:v>
      </x:c>
      <x:c r="AB17" s="13" t="n">
        <x:f>G17/Y17</x:f>
        <x:v>13.260994925112467</x:v>
      </x:c>
      <x:c r="AC17" s="11" t="n">
        <x:f>'Assumptions'!$C$10</x:f>
        <x:v>0.8</x:v>
      </x:c>
      <x:c r="AD17" s="16" t="n">
        <x:f>F17</x:f>
        <x:v>1695</x:v>
      </x:c>
      <x:c r="AE17" s="16" t="n">
        <x:f>AD17*AC17</x:f>
        <x:v>1356</x:v>
      </x:c>
      <x:c r="AF17" s="16" t="n">
        <x:f>Y17*4.4482216153*(C17*0.44704)/745.6998716</x:f>
        <x:v>297.29292728070607</x:v>
      </x:c>
      <x:c r="AG17" s="16" t="n">
        <x:f>AF17/AC17</x:f>
        <x:v>371.61615910088256</x:v>
      </x:c>
      <x:c r="AH17" s="16" t="n">
        <x:f>AE17-AF17</x:f>
        <x:v>1058.707072719294</x:v>
      </x:c>
      <x:c r="AI17" s="16" t="n">
        <x:f>AH17*745.6998716/(G17*4.4482216153)</x:f>
        <x:v>19.207971176764744</x:v>
      </x:c>
      <x:c r="AJ17" s="16" t="n">
        <x:f>AI17*196.8503937</x:f>
        <x:v>3781.0966883243923</x:v>
      </x:c>
      <x:c r="AK17" s="16" t="n">
        <x:f>AH17*745.6998716/(G17*0.45359237*C17*0.44704)</x:f>
        <x:v>2.633515045385937</x:v>
      </x:c>
      <x:c r="AL17" s="16" t="n">
        <x:f>SQRT(2*G17*4.4482216153/(1.225*L17*'Assumptions'!$C$11))/0.44704</x:f>
        <x:v>98.46385799361909</x:v>
      </x:c>
      <x:c r="AM17" s="16" t="n">
        <x:f>MIN('Assumptions'!$C$12,'Assumptions'!$C$11*K17*L17/(G17*4.4482216153))</x:f>
        <x:v>1.93163919316263</x:v>
      </x:c>
      <x:c r="AN17" s="16" t="n">
        <x:f>IF(AE17*745.6998716/(C17*0.44704)-(V17+X17)*4.4482216153&lt;W17*4.4482216153,"n.a.",MIN(AM17,SQRT((AE17*745.6998716/(C17*0.44704)-(V17+X17)*4.4482216153)/(W17*4.4482216153))))</x:f>
        <x:v>1.93163919316263</x:v>
      </x:c>
      <x:c r="AO17" s="16" t="n">
        <x:f>IF(AM17&gt;1,9.80665*SQRT(AM17^2-1)/(C17*0.44704)*180/PI(),"n.a.")</x:f>
        <x:v>12.982432575964049</x:v>
      </x:c>
      <x:c r="AP17" s="16" t="n">
        <x:f>IF(ISNUMBER(AN17),IF(AN17&gt;1,9.80665*SQRT(AN17^2-1)/(C17*0.44704)*180/PI(),"n.a."),"n.a.")</x:f>
        <x:v>12.982432575964049</x:v>
      </x:c>
      <x:c r="AQ17" s="16" t="n">
        <x:f>IF(AM17&gt;1,(C17*0.44704)^2/(9.80665*SQRT(AM17^2-1)),"n.a.")</x:f>
        <x:v>315.66971904417613</x:v>
      </x:c>
      <x:c r="AR17" s="16" t="n">
        <x:f>IF(ISNUMBER(AN17),IF(AN17&gt;1,(C17*0.44704)^2/(9.80665*SQRT(AN17^2-1)),"n.a."),"n.a.")</x:f>
        <x:v>315.66971904417613</x:v>
      </x:c>
      <x:c r="AS17" s="6" t="str">
        <x:f>IF(I17&gt;=AL17,"Within modeled CLmax","Below modeled stall")</x:f>
        <x:v>Within modeled CLmax</x:v>
      </x:c>
      <x:c r="AT17" s="6" t="str">
        <x:v>D: aero and eta estimated</x:v>
      </x:c>
      <x:c r="AU17" s="6" t="str">
        <x:v>Fixed BHP node snapshot; no source-backed 6G/CLmax/eta map</x:v>
      </x:c>
    </x:row>
    <x:row r="18">
      <x:c r="B18" s="10" t="n">
        <x:v>10300</x:v>
      </x:c>
      <x:c r="C18" s="10" t="n">
        <x:v>190</x:v>
      </x:c>
      <x:c r="D18" s="6" t="str">
        <x:v>67inHg</x:v>
      </x:c>
      <x:c r="E18" s="6" t="str">
        <x:v>low</x:v>
      </x:c>
      <x:c r="F18" s="6" t="n">
        <x:v>1695</x:v>
      </x:c>
      <x:c r="G18" s="6" t="n">
        <x:f>'Assumptions'!$C$5</x:f>
        <x:v>9240</x:v>
      </x:c>
      <x:c r="H18" s="11" t="n">
        <x:f>(101325*((288.15-0.0065*B18*0.3048)/288.15)^5.2558797)/(287.05287*(288.15-0.0065*B18*0.3048))</x:f>
        <x:v>0.8961399291288429</x:v>
      </x:c>
      <x:c r="I18" s="11" t="n">
        <x:f>C18*SQRT(H18/1.225)</x:f>
        <x:v>162.50752306994139</x:v>
      </x:c>
      <x:c r="J18" s="11" t="n">
        <x:f>C18*0.44704/SQRT(1.4*287.05287*(288.15-0.0065*B18*0.3048))</x:f>
        <x:v>0.2589377912783837</x:v>
      </x:c>
      <x:c r="K18" s="12" t="n">
        <x:f>0.5*H18*(C18*0.44704)^2</x:f>
        <x:v>3232.554112470751</x:v>
      </x:c>
      <x:c r="L18" s="11" t="n">
        <x:f>'Assumptions'!$C$6*0.09290304</x:f>
        <x:v>21.646408320000003</x:v>
      </x:c>
      <x:c r="M18" s="11" t="n">
        <x:f>('Assumptions'!$C$7*0.3048)^2/L18</x:f>
        <x:v>5.875536480686696</x:v>
      </x:c>
      <x:c r="N18" s="11" t="n">
        <x:f>1/(PI()*M18*'Assumptions'!$C$9)</x:f>
        <x:v>0.06771932385027686</x:v>
      </x:c>
      <x:c r="O18" s="13" t="n">
        <x:f>G18/'Assumptions'!$C$6</x:f>
        <x:v>39.65665236051502</x:v>
      </x:c>
      <x:c r="P18" s="14" t="n">
        <x:f>F18/G18</x:f>
        <x:v>0.18344155844155843</x:v>
      </x:c>
      <x:c r="Q18" s="15" t="n">
        <x:f>G18*4.4482216153/(K18*L18)</x:f>
        <x:v>0.5873902552802654</x:v>
      </x:c>
      <x:c r="R18" s="15" t="n">
        <x:f>'Assumptions'!$C$8+'Assumptions'!$C$13</x:f>
        <x:v>0.016</x:v>
      </x:c>
      <x:c r="S18" s="15" t="n">
        <x:f>N18*Q18^2</x:f>
        <x:v>0.023365016278397665</x:v>
      </x:c>
      <x:c r="T18" s="15" t="n">
        <x:f>'Assumptions'!$C$14</x:f>
        <x:v>0</x:v>
      </x:c>
      <x:c r="U18" s="15" t="n">
        <x:f>SUM(R18:T18)</x:f>
        <x:v>0.03936501627839767</x:v>
      </x:c>
      <x:c r="V18" s="16" t="n">
        <x:f>K18*L18*R18/4.4482216153</x:f>
        <x:v>251.6895686828514</x:v>
      </x:c>
      <x:c r="W18" s="16" t="n">
        <x:f>K18*L18*S18/4.4482216153</x:f>
        <x:v>367.5456793361069</x:v>
      </x:c>
      <x:c r="X18" s="16" t="n">
        <x:f>K18*L18*T18/4.4482216153</x:f>
        <x:v>0</x:v>
      </x:c>
      <x:c r="Y18" s="16" t="n">
        <x:f>SUM(V18:X18)</x:f>
        <x:v>619.2352480189583</x:v>
      </x:c>
      <x:c r="Z18" s="9" t="n">
        <x:f>V18/Y18</x:f>
        <x:v>0.4064522642857465</x:v>
      </x:c>
      <x:c r="AA18" s="9" t="n">
        <x:f>W18/Y18</x:f>
        <x:v>0.5935477357142536</x:v>
      </x:c>
      <x:c r="AB18" s="13" t="n">
        <x:f>G18/Y18</x:f>
        <x:v>14.92163120487791</x:v>
      </x:c>
      <x:c r="AC18" s="11" t="n">
        <x:f>'Assumptions'!$C$10</x:f>
        <x:v>0.8</x:v>
      </x:c>
      <x:c r="AD18" s="16" t="n">
        <x:f>F18</x:f>
        <x:v>1695</x:v>
      </x:c>
      <x:c r="AE18" s="16" t="n">
        <x:f>AD18*AC18</x:f>
        <x:v>1356</x:v>
      </x:c>
      <x:c r="AF18" s="16" t="n">
        <x:f>Y18*4.4482216153*(C18*0.44704)/745.6998716</x:f>
        <x:v>313.74585899159854</x:v>
      </x:c>
      <x:c r="AG18" s="16" t="n">
        <x:f>AF18/AC18</x:f>
        <x:v>392.18232373949814</x:v>
      </x:c>
      <x:c r="AH18" s="16" t="n">
        <x:f>AE18-AF18</x:f>
        <x:v>1042.2541410084013</x:v>
      </x:c>
      <x:c r="AI18" s="16" t="n">
        <x:f>AH18*745.6998716/(G18*4.4482216153)</x:f>
        <x:v>18.90946798714839</x:v>
      </x:c>
      <x:c r="AJ18" s="16" t="n">
        <x:f>AI18*196.8503937</x:f>
        <x:v>3722.3362179277074</x:v>
      </x:c>
      <x:c r="AK18" s="16" t="n">
        <x:f>AH18*745.6998716/(G18*0.45359237*C18*0.44704)</x:f>
        <x:v>2.183232564115485</x:v>
      </x:c>
      <x:c r="AL18" s="16" t="n">
        <x:f>SQRT(2*G18*4.4482216153/(1.225*L18*'Assumptions'!$C$11))/0.44704</x:f>
        <x:v>98.46385799361909</x:v>
      </x:c>
      <x:c r="AM18" s="16" t="n">
        <x:f>MIN('Assumptions'!$C$12,'Assumptions'!$C$11*K18*L18/(G18*4.4482216153))</x:f>
        <x:v>2.72391308098324</x:v>
      </x:c>
      <x:c r="AN18" s="16" t="n">
        <x:f>IF(AE18*745.6998716/(C18*0.44704)-(V18+X18)*4.4482216153&lt;W18*4.4482216153,"n.a.",MIN(AM18,SQRT((AE18*745.6998716/(C18*0.44704)-(V18+X18)*4.4482216153)/(W18*4.4482216153))))</x:f>
        <x:v>2.5684241089573616</x:v>
      </x:c>
      <x:c r="AO18" s="16" t="n">
        <x:f>IF(AM18&gt;1,9.80665*SQRT(AM18^2-1)/(C18*0.44704)*180/PI(),"n.a.")</x:f>
        <x:v>16.76103268462294</x:v>
      </x:c>
      <x:c r="AP18" s="16" t="n">
        <x:f>IF(ISNUMBER(AN18),IF(AN18&gt;1,9.80665*SQRT(AN18^2-1)/(C18*0.44704)*180/PI(),"n.a."),"n.a.")</x:f>
        <x:v>15.649962806674713</x:v>
      </x:c>
      <x:c r="AQ18" s="16" t="n">
        <x:f>IF(AM18&gt;1,(C18*0.44704)^2/(9.80665*SQRT(AM18^2-1)),"n.a.")</x:f>
        <x:v>290.3500096646856</x:v>
      </x:c>
      <x:c r="AR18" s="16" t="n">
        <x:f>IF(ISNUMBER(AN18),IF(AN18&gt;1,(C18*0.44704)^2/(9.80665*SQRT(AN18^2-1)),"n.a."),"n.a.")</x:f>
        <x:v>310.96342285841024</x:v>
      </x:c>
      <x:c r="AS18" s="6" t="str">
        <x:f>IF(I18&gt;=AL18,"Within modeled CLmax","Below modeled stall")</x:f>
        <x:v>Within modeled CLmax</x:v>
      </x:c>
      <x:c r="AT18" s="6" t="str">
        <x:v>D: aero and eta estimated</x:v>
      </x:c>
      <x:c r="AU18" s="6" t="str">
        <x:v>Fixed BHP node snapshot; no source-backed 6G/CLmax/eta map</x:v>
      </x:c>
    </x:row>
    <x:row r="19">
      <x:c r="B19" s="10" t="n">
        <x:v>10300</x:v>
      </x:c>
      <x:c r="C19" s="10" t="n">
        <x:v>220</x:v>
      </x:c>
      <x:c r="D19" s="6" t="str">
        <x:v>67inHg</x:v>
      </x:c>
      <x:c r="E19" s="6" t="str">
        <x:v>low</x:v>
      </x:c>
      <x:c r="F19" s="6" t="n">
        <x:v>1695</x:v>
      </x:c>
      <x:c r="G19" s="6" t="n">
        <x:f>'Assumptions'!$C$5</x:f>
        <x:v>9240</x:v>
      </x:c>
      <x:c r="H19" s="11" t="n">
        <x:f>(101325*((288.15-0.0065*B19*0.3048)/288.15)^5.2558797)/(287.05287*(288.15-0.0065*B19*0.3048))</x:f>
        <x:v>0.8961399291288429</x:v>
      </x:c>
      <x:c r="I19" s="11" t="n">
        <x:f>C19*SQRT(H19/1.225)</x:f>
        <x:v>188.16660565993212</x:v>
      </x:c>
      <x:c r="J19" s="11" t="n">
        <x:f>C19*0.44704/SQRT(1.4*287.05287*(288.15-0.0065*B19*0.3048))</x:f>
        <x:v>0.29982270569076</x:v>
      </x:c>
      <x:c r="K19" s="12" t="n">
        <x:f>0.5*H19*(C19*0.44704)^2</x:f>
        <x:v>4333.950666027266</x:v>
      </x:c>
      <x:c r="L19" s="11" t="n">
        <x:f>'Assumptions'!$C$6*0.09290304</x:f>
        <x:v>21.646408320000003</x:v>
      </x:c>
      <x:c r="M19" s="11" t="n">
        <x:f>('Assumptions'!$C$7*0.3048)^2/L19</x:f>
        <x:v>5.875536480686696</x:v>
      </x:c>
      <x:c r="N19" s="11" t="n">
        <x:f>1/(PI()*M19*'Assumptions'!$C$9)</x:f>
        <x:v>0.06771932385027686</x:v>
      </x:c>
      <x:c r="O19" s="13" t="n">
        <x:f>G19/'Assumptions'!$C$6</x:f>
        <x:v>39.65665236051502</x:v>
      </x:c>
      <x:c r="P19" s="14" t="n">
        <x:f>F19/G19</x:f>
        <x:v>0.18344155844155843</x:v>
      </x:c>
      <x:c r="Q19" s="15" t="n">
        <x:f>G19*4.4482216153/(K19*L19)</x:f>
        <x:v>0.43811545900036347</x:v>
      </x:c>
      <x:c r="R19" s="15" t="n">
        <x:f>'Assumptions'!$C$8+'Assumptions'!$C$13</x:f>
        <x:v>0.016</x:v>
      </x:c>
      <x:c r="S19" s="15" t="n">
        <x:f>N19*Q19^2</x:f>
        <x:v>0.012998396141046822</x:v>
      </x:c>
      <x:c r="T19" s="15" t="n">
        <x:f>'Assumptions'!$C$14</x:f>
        <x:v>0</x:v>
      </x:c>
      <x:c r="U19" s="15" t="n">
        <x:f>SUM(R19:T19)</x:f>
        <x:v>0.028998396141046823</x:v>
      </x:c>
      <x:c r="V19" s="16" t="n">
        <x:f>K19*L19*R19/4.4482216153</x:f>
        <x:v>337.44529430055417</x:v>
      </x:c>
      <x:c r="W19" s="16" t="n">
        <x:f>K19*L19*S19/4.4482216153</x:f>
        <x:v>274.14047570317075</x:v>
      </x:c>
      <x:c r="X19" s="16" t="n">
        <x:f>K19*L19*T19/4.4482216153</x:f>
        <x:v>0</x:v>
      </x:c>
      <x:c r="Y19" s="16" t="n">
        <x:f>SUM(V19:X19)</x:f>
        <x:v>611.585770003725</x:v>
      </x:c>
      <x:c r="Z19" s="9" t="n">
        <x:f>V19/Y19</x:f>
        <x:v>0.5517546529875914</x:v>
      </x:c>
      <x:c r="AA19" s="9" t="n">
        <x:f>W19/Y19</x:f>
        <x:v>0.4482453470124085</x:v>
      </x:c>
      <x:c r="AB19" s="13" t="n">
        <x:f>G19/Y19</x:f>
        <x:v>15.108265190577802</x:v>
      </x:c>
      <x:c r="AC19" s="11" t="n">
        <x:f>'Assumptions'!$C$10</x:f>
        <x:v>0.8</x:v>
      </x:c>
      <x:c r="AD19" s="16" t="n">
        <x:f>F19</x:f>
        <x:v>1695</x:v>
      </x:c>
      <x:c r="AE19" s="16" t="n">
        <x:f>AD19*AC19</x:f>
        <x:v>1356</x:v>
      </x:c>
      <x:c r="AF19" s="16" t="n">
        <x:f>Y19*4.4482216153*(C19*0.44704)/745.6998716</x:f>
        <x:v>358.79698506350724</x:v>
      </x:c>
      <x:c r="AG19" s="16" t="n">
        <x:f>AF19/AC19</x:f>
        <x:v>448.49623132938405</x:v>
      </x:c>
      <x:c r="AH19" s="16" t="n">
        <x:f>AE19-AF19</x:f>
        <x:v>997.2030149364928</x:v>
      </x:c>
      <x:c r="AI19" s="16" t="n">
        <x:f>AH19*745.6998716/(G19*4.4482216153)</x:f>
        <x:v>18.09211184268873</x:v>
      </x:c>
      <x:c r="AJ19" s="16" t="n">
        <x:f>AI19*196.8503937</x:f>
        <x:v>3561.4393390977093</x:v>
      </x:c>
      <x:c r="AK19" s="16" t="n">
        <x:f>AH19*745.6998716/(G19*0.45359237*C19*0.44704)</x:f>
        <x:v>1.8040180317774992</x:v>
      </x:c>
      <x:c r="AL19" s="16" t="n">
        <x:f>SQRT(2*G19*4.4482216153/(1.225*L19*'Assumptions'!$C$11))/0.44704</x:f>
        <x:v>98.46385799361909</x:v>
      </x:c>
      <x:c r="AM19" s="16" t="n">
        <x:f>MIN('Assumptions'!$C$12,'Assumptions'!$C$11*K19*L19/(G19*4.4482216153))</x:f>
        <x:v>3.652005349573097</x:v>
      </x:c>
      <x:c r="AN19" s="16" t="n">
        <x:f>IF(AE19*745.6998716/(C19*0.44704)-(V19+X19)*4.4482216153&lt;W19*4.4482216153,"n.a.",MIN(AM19,SQRT((AE19*745.6998716/(C19*0.44704)-(V19+X19)*4.4482216153)/(W19*4.4482216153))))</x:f>
        <x:v>2.683354245753699</x:v>
      </x:c>
      <x:c r="AO19" s="16" t="n">
        <x:f>IF(AM19&gt;1,9.80665*SQRT(AM19^2-1)/(C19*0.44704)*180/PI(),"n.a.")</x:f>
        <x:v>20.066958076743788</x:v>
      </x:c>
      <x:c r="AP19" s="16" t="n">
        <x:f>IF(ISNUMBER(AN19),IF(AN19&gt;1,9.80665*SQRT(AN19^2-1)/(C19*0.44704)*180/PI(),"n.a."),"n.a.")</x:f>
        <x:v>14.226030864494739</x:v>
      </x:c>
      <x:c r="AQ19" s="16" t="n">
        <x:f>IF(AM19&gt;1,(C19*0.44704)^2/(9.80665*SQRT(AM19^2-1)),"n.a.")</x:f>
        <x:v>280.80843836050923</x:v>
      </x:c>
      <x:c r="AR19" s="16" t="n">
        <x:f>IF(ISNUMBER(AN19),IF(AN19&gt;1,(C19*0.44704)^2/(9.80665*SQRT(AN19^2-1)),"n.a."),"n.a.")</x:f>
        <x:v>396.1028352778262</x:v>
      </x:c>
      <x:c r="AS19" s="6" t="str">
        <x:f>IF(I19&gt;=AL19,"Within modeled CLmax","Below modeled stall")</x:f>
        <x:v>Within modeled CLmax</x:v>
      </x:c>
      <x:c r="AT19" s="6" t="str">
        <x:v>D: aero and eta estimated</x:v>
      </x:c>
      <x:c r="AU19" s="6" t="str">
        <x:v>Fixed BHP node snapshot; no source-backed 6G/CLmax/eta map</x:v>
      </x:c>
    </x:row>
    <x:row r="20">
      <x:c r="B20" s="10" t="n">
        <x:v>10300</x:v>
      </x:c>
      <x:c r="C20" s="10" t="n">
        <x:v>250</x:v>
      </x:c>
      <x:c r="D20" s="6" t="str">
        <x:v>67inHg</x:v>
      </x:c>
      <x:c r="E20" s="6" t="str">
        <x:v>low</x:v>
      </x:c>
      <x:c r="F20" s="6" t="n">
        <x:v>1695</x:v>
      </x:c>
      <x:c r="G20" s="6" t="n">
        <x:f>'Assumptions'!$C$5</x:f>
        <x:v>9240</x:v>
      </x:c>
      <x:c r="H20" s="11" t="n">
        <x:f>(101325*((288.15-0.0065*B20*0.3048)/288.15)^5.2558797)/(287.05287*(288.15-0.0065*B20*0.3048))</x:f>
        <x:v>0.8961399291288429</x:v>
      </x:c>
      <x:c r="I20" s="11" t="n">
        <x:f>C20*SQRT(H20/1.225)</x:f>
        <x:v>213.82568824992288</x:v>
      </x:c>
      <x:c r="J20" s="11" t="n">
        <x:f>C20*0.44704/SQRT(1.4*287.05287*(288.15-0.0065*B20*0.3048))</x:f>
        <x:v>0.3407076201031364</x:v>
      </x:c>
      <x:c r="K20" s="12" t="n">
        <x:f>0.5*H20*(C20*0.44704)^2</x:f>
        <x:v>5596.527203031079</x:v>
      </x:c>
      <x:c r="L20" s="11" t="n">
        <x:f>'Assumptions'!$C$6*0.09290304</x:f>
        <x:v>21.646408320000003</x:v>
      </x:c>
      <x:c r="M20" s="11" t="n">
        <x:f>('Assumptions'!$C$7*0.3048)^2/L20</x:f>
        <x:v>5.875536480686696</x:v>
      </x:c>
      <x:c r="N20" s="11" t="n">
        <x:f>1/(PI()*M20*'Assumptions'!$C$9)</x:f>
        <x:v>0.06771932385027686</x:v>
      </x:c>
      <x:c r="O20" s="13" t="n">
        <x:f>G20/'Assumptions'!$C$6</x:f>
        <x:v>39.65665236051502</x:v>
      </x:c>
      <x:c r="P20" s="14" t="n">
        <x:f>F20/G20</x:f>
        <x:v>0.18344155844155843</x:v>
      </x:c>
      <x:c r="Q20" s="15" t="n">
        <x:f>G20*4.4482216153/(K20*L20)</x:f>
        <x:v>0.33927661144988136</x:v>
      </x:c>
      <x:c r="R20" s="15" t="n">
        <x:f>'Assumptions'!$C$8+'Assumptions'!$C$13</x:f>
        <x:v>0.016</x:v>
      </x:c>
      <x:c r="S20" s="15" t="n">
        <x:f>N20*Q20^2</x:f>
        <x:v>0.00779507785322768</x:v>
      </x:c>
      <x:c r="T20" s="15" t="n">
        <x:f>'Assumptions'!$C$14</x:f>
        <x:v>0</x:v>
      </x:c>
      <x:c r="U20" s="15" t="n">
        <x:f>SUM(R20:T20)</x:f>
        <x:v>0.02379507785322768</x:v>
      </x:c>
      <x:c r="V20" s="16" t="n">
        <x:f>K20*L20*R20/4.4482216153</x:f>
        <x:v>435.7506383013356</x:v>
      </x:c>
      <x:c r="W20" s="16" t="n">
        <x:f>K20*L20*S20/4.4482216153</x:f>
        <x:v>212.2943843845354</x:v>
      </x:c>
      <x:c r="X20" s="16" t="n">
        <x:f>K20*L20*T20/4.4482216153</x:f>
        <x:v>0</x:v>
      </x:c>
      <x:c r="Y20" s="16" t="n">
        <x:f>SUM(V20:X20)</x:f>
        <x:v>648.045022685871</x:v>
      </x:c>
      <x:c r="Z20" s="9" t="n">
        <x:f>V20/Y20</x:f>
        <x:v>0.6724079701983274</x:v>
      </x:c>
      <x:c r="AA20" s="9" t="n">
        <x:f>W20/Y20</x:f>
        <x:v>0.3275920298016725</x:v>
      </x:c>
      <x:c r="AB20" s="13" t="n">
        <x:f>G20/Y20</x:f>
        <x:v>14.258268602548831</x:v>
      </x:c>
      <x:c r="AC20" s="11" t="n">
        <x:f>'Assumptions'!$C$10</x:f>
        <x:v>0.8</x:v>
      </x:c>
      <x:c r="AD20" s="16" t="n">
        <x:f>F20</x:f>
        <x:v>1695</x:v>
      </x:c>
      <x:c r="AE20" s="16" t="n">
        <x:f>AD20*AC20</x:f>
        <x:v>1356</x:v>
      </x:c>
      <x:c r="AF20" s="16" t="n">
        <x:f>Y20*4.4482216153*(C20*0.44704)/745.6998716</x:f>
        <x:v>432.0300151174784</x:v>
      </x:c>
      <x:c r="AG20" s="16" t="n">
        <x:f>AF20/AC20</x:f>
        <x:v>540.0375188968479</x:v>
      </x:c>
      <x:c r="AH20" s="16" t="n">
        <x:f>AE20-AF20</x:f>
        <x:v>923.9699848825217</x:v>
      </x:c>
      <x:c r="AI20" s="16" t="n">
        <x:f>AH20*745.6998716/(G20*4.4482216153)</x:f>
        <x:v>16.763455440261176</x:v>
      </x:c>
      <x:c r="AJ20" s="16" t="n">
        <x:f>AI20*196.8503937</x:f>
        <x:v>3299.8928031878195</x:v>
      </x:c>
      <x:c r="AK20" s="16" t="n">
        <x:f>AH20*745.6998716/(G20*0.45359237*C20*0.44704)</x:f>
        <x:v>1.4709497163090288</x:v>
      </x:c>
      <x:c r="AL20" s="16" t="n">
        <x:f>SQRT(2*G20*4.4482216153/(1.225*L20*'Assumptions'!$C$11))/0.44704</x:f>
        <x:v>98.46385799361909</x:v>
      </x:c>
      <x:c r="AM20" s="16" t="n">
        <x:f>MIN('Assumptions'!$C$12,'Assumptions'!$C$11*K20*L20/(G20*4.4482216153))</x:f>
        <x:v>4.715915998932203</x:v>
      </x:c>
      <x:c r="AN20" s="16" t="n">
        <x:f>IF(AE20*745.6998716/(C20*0.44704)-(V20+X20)*4.4482216153&lt;W20*4.4482216153,"n.a.",MIN(AM20,SQRT((AE20*745.6998716/(C20*0.44704)-(V20+X20)*4.4482216153)/(W20*4.4482216153))))</x:f>
        <x:v>2.7438035689074534</x:v>
      </x:c>
      <x:c r="AO20" s="16" t="n">
        <x:f>IF(AM20&gt;1,9.80665*SQRT(AM20^2-1)/(C20*0.44704)*180/PI(),"n.a.")</x:f>
        <x:v>23.170359796905085</x:v>
      </x:c>
      <x:c r="AP20" s="16" t="n">
        <x:f>IF(ISNUMBER(AN20),IF(AN20&gt;1,9.80665*SQRT(AN20^2-1)/(C20*0.44704)*180/PI(),"n.a."),"n.a.")</x:f>
        <x:v>12.845831556501409</x:v>
      </x:c>
      <x:c r="AQ20" s="16" t="n">
        <x:f>IF(AM20&gt;1,(C20*0.44704)^2/(9.80665*SQRT(AM20^2-1)),"n.a.")</x:f>
        <x:v>276.36067693853397</x:v>
      </x:c>
      <x:c r="AR20" s="16" t="n">
        <x:f>IF(ISNUMBER(AN20),IF(AN20&gt;1,(C20*0.44704)^2/(9.80665*SQRT(AN20^2-1)),"n.a."),"n.a.")</x:f>
        <x:v>498.4789260405073</x:v>
      </x:c>
      <x:c r="AS20" s="6" t="str">
        <x:f>IF(I20&gt;=AL20,"Within modeled CLmax","Below modeled stall")</x:f>
        <x:v>Within modeled CLmax</x:v>
      </x:c>
      <x:c r="AT20" s="6" t="str">
        <x:v>D: aero and eta estimated</x:v>
      </x:c>
      <x:c r="AU20" s="6" t="str">
        <x:v>Fixed BHP node snapshot; no source-backed 6G/CLmax/eta map</x:v>
      </x:c>
    </x:row>
    <x:row r="21">
      <x:c r="B21" s="10" t="n">
        <x:v>10300</x:v>
      </x:c>
      <x:c r="C21" s="10" t="n">
        <x:v>280</x:v>
      </x:c>
      <x:c r="D21" s="6" t="str">
        <x:v>67inHg</x:v>
      </x:c>
      <x:c r="E21" s="6" t="str">
        <x:v>low</x:v>
      </x:c>
      <x:c r="F21" s="6" t="n">
        <x:v>1695</x:v>
      </x:c>
      <x:c r="G21" s="6" t="n">
        <x:f>'Assumptions'!$C$5</x:f>
        <x:v>9240</x:v>
      </x:c>
      <x:c r="H21" s="11" t="n">
        <x:f>(101325*((288.15-0.0065*B21*0.3048)/288.15)^5.2558797)/(287.05287*(288.15-0.0065*B21*0.3048))</x:f>
        <x:v>0.8961399291288429</x:v>
      </x:c>
      <x:c r="I21" s="11" t="n">
        <x:f>C21*SQRT(H21/1.225)</x:f>
        <x:v>239.4847708399136</x:v>
      </x:c>
      <x:c r="J21" s="11" t="n">
        <x:f>C21*0.44704/SQRT(1.4*287.05287*(288.15-0.0065*B21*0.3048))</x:f>
        <x:v>0.3815925345155127</x:v>
      </x:c>
      <x:c r="K21" s="12" t="n">
        <x:f>0.5*H21*(C21*0.44704)^2</x:f>
        <x:v>7020.2837234821845</x:v>
      </x:c>
      <x:c r="L21" s="11" t="n">
        <x:f>'Assumptions'!$C$6*0.09290304</x:f>
        <x:v>21.646408320000003</x:v>
      </x:c>
      <x:c r="M21" s="11" t="n">
        <x:f>('Assumptions'!$C$7*0.3048)^2/L21</x:f>
        <x:v>5.875536480686696</x:v>
      </x:c>
      <x:c r="N21" s="11" t="n">
        <x:f>1/(PI()*M21*'Assumptions'!$C$9)</x:f>
        <x:v>0.06771932385027686</x:v>
      </x:c>
      <x:c r="O21" s="13" t="n">
        <x:f>G21/'Assumptions'!$C$6</x:f>
        <x:v>39.65665236051502</x:v>
      </x:c>
      <x:c r="P21" s="14" t="n">
        <x:f>F21/G21</x:f>
        <x:v>0.18344155844155843</x:v>
      </x:c>
      <x:c r="Q21" s="15" t="n">
        <x:f>G21*4.4482216153/(K21*L21)</x:f>
        <x:v>0.2704692374441019</x:v>
      </x:c>
      <x:c r="R21" s="15" t="n">
        <x:f>'Assumptions'!$C$8+'Assumptions'!$C$13</x:f>
        <x:v>0.016</x:v>
      </x:c>
      <x:c r="S21" s="15" t="n">
        <x:f>N21*Q21^2</x:f>
        <x:v>0.004953912898299315</x:v>
      </x:c>
      <x:c r="T21" s="15" t="n">
        <x:f>'Assumptions'!$C$14</x:f>
        <x:v>0</x:v>
      </x:c>
      <x:c r="U21" s="15" t="n">
        <x:f>SUM(R21:T21)</x:f>
        <x:v>0.020953912898299315</x:v>
      </x:c>
      <x:c r="V21" s="16" t="n">
        <x:f>K21*L21*R21/4.4482216153</x:f>
        <x:v>546.6056006851953</x:v>
      </x:c>
      <x:c r="W21" s="16" t="n">
        <x:f>K21*L21*S21/4.4482216153</x:f>
        <x:v>169.2397834698146</x:v>
      </x:c>
      <x:c r="X21" s="16" t="n">
        <x:f>K21*L21*T21/4.4482216153</x:f>
        <x:v>0</x:v>
      </x:c>
      <x:c r="Y21" s="16" t="n">
        <x:f>SUM(V21:X21)</x:f>
        <x:v>715.8453841550099</x:v>
      </x:c>
      <x:c r="Z21" s="9" t="n">
        <x:f>V21/Y21</x:f>
        <x:v>0.7635805339869772</x:v>
      </x:c>
      <x:c r="AA21" s="9" t="n">
        <x:f>W21/Y21</x:f>
        <x:v>0.23641946601302277</x:v>
      </x:c>
      <x:c r="AB21" s="13" t="n">
        <x:f>G21/Y21</x:f>
        <x:v>12.907815297163612</x:v>
      </x:c>
      <x:c r="AC21" s="11" t="n">
        <x:f>'Assumptions'!$C$10</x:f>
        <x:v>0.8</x:v>
      </x:c>
      <x:c r="AD21" s="16" t="n">
        <x:f>F21</x:f>
        <x:v>1695</x:v>
      </x:c>
      <x:c r="AE21" s="16" t="n">
        <x:f>AD21*AC21</x:f>
        <x:v>1356</x:v>
      </x:c>
      <x:c r="AF21" s="16" t="n">
        <x:f>Y21*4.4482216153*(C21*0.44704)/745.6998716</x:f>
        <x:v>534.4978868277788</x:v>
      </x:c>
      <x:c r="AG21" s="16" t="n">
        <x:f>AF21/AC21</x:f>
        <x:v>668.1223585347234</x:v>
      </x:c>
      <x:c r="AH21" s="16" t="n">
        <x:f>AE21-AF21</x:f>
        <x:v>821.5021131722212</x:v>
      </x:c>
      <x:c r="AI21" s="16" t="n">
        <x:f>AH21*745.6998716/(G21*4.4482216153)</x:f>
        <x:v>14.90439548206089</x:v>
      </x:c>
      <x:c r="AJ21" s="16" t="n">
        <x:f>AI21*196.8503937</x:f>
        <x:v>2933.9361185041876</x:v>
      </x:c>
      <x:c r="AK21" s="16" t="n">
        <x:f>AH21*745.6998716/(G21*0.45359237*C21*0.44704)</x:f>
        <x:v>1.167698240133915</x:v>
      </x:c>
      <x:c r="AL21" s="16" t="n">
        <x:f>SQRT(2*G21*4.4482216153/(1.225*L21*'Assumptions'!$C$11))/0.44704</x:f>
        <x:v>98.46385799361909</x:v>
      </x:c>
      <x:c r="AM21" s="16" t="n">
        <x:f>MIN('Assumptions'!$C$12,'Assumptions'!$C$11*K21*L21/(G21*4.4482216153))</x:f>
        <x:v>5.9156450290605544</x:v>
      </x:c>
      <x:c r="AN21" s="16" t="n">
        <x:f>IF(AE21*745.6998716/(C21*0.44704)-(V21+X21)*4.4482216153&lt;W21*4.4482216153,"n.a.",MIN(AM21,SQRT((AE21*745.6998716/(C21*0.44704)-(V21+X21)*4.4482216153)/(W21*4.4482216153))))</x:f>
        <x:v>2.738793426992214</x:v>
      </x:c>
      <x:c r="AO21" s="16" t="n">
        <x:f>IF(AM21&gt;1,9.80665*SQRT(AM21^2-1)/(C21*0.44704)*180/PI(),"n.a.")</x:f>
        <x:v>26.17251731822343</x:v>
      </x:c>
      <x:c r="AP21" s="16" t="n">
        <x:f>IF(ISNUMBER(AN21),IF(AN21&gt;1,9.80665*SQRT(AN21^2-1)/(C21*0.44704)*180/PI(),"n.a."),"n.a.")</x:f>
        <x:v>11.445337992550051</x:v>
      </x:c>
      <x:c r="AQ21" s="16" t="n">
        <x:f>IF(AM21&gt;1,(C21*0.44704)^2/(9.80665*SQRT(AM21^2-1)),"n.a.")</x:f>
        <x:v>274.01955224208996</x:v>
      </x:c>
      <x:c r="AR21" s="16" t="n">
        <x:f>IF(ISNUMBER(AN21),IF(AN21&gt;1,(C21*0.44704)^2/(9.80665*SQRT(AN21^2-1)),"n.a."),"n.a.")</x:f>
        <x:v>626.6115934065166</x:v>
      </x:c>
      <x:c r="AS21" s="6" t="str">
        <x:f>IF(I21&gt;=AL21,"Within modeled CLmax","Below modeled stall")</x:f>
        <x:v>Within modeled CLmax</x:v>
      </x:c>
      <x:c r="AT21" s="6" t="str">
        <x:v>D: aero and eta estimated</x:v>
      </x:c>
      <x:c r="AU21" s="6" t="str">
        <x:v>Fixed BHP node snapshot; no source-backed 6G/CLmax/eta map</x:v>
      </x:c>
    </x:row>
    <x:row r="22">
      <x:c r="B22" s="10" t="n">
        <x:v>10300</x:v>
      </x:c>
      <x:c r="C22" s="10" t="n">
        <x:v>310</x:v>
      </x:c>
      <x:c r="D22" s="6" t="str">
        <x:v>67inHg</x:v>
      </x:c>
      <x:c r="E22" s="6" t="str">
        <x:v>low</x:v>
      </x:c>
      <x:c r="F22" s="6" t="n">
        <x:v>1695</x:v>
      </x:c>
      <x:c r="G22" s="6" t="n">
        <x:f>'Assumptions'!$C$5</x:f>
        <x:v>9240</x:v>
      </x:c>
      <x:c r="H22" s="11" t="n">
        <x:f>(101325*((288.15-0.0065*B22*0.3048)/288.15)^5.2558797)/(287.05287*(288.15-0.0065*B22*0.3048))</x:f>
        <x:v>0.8961399291288429</x:v>
      </x:c>
      <x:c r="I22" s="11" t="n">
        <x:f>C22*SQRT(H22/1.225)</x:f>
        <x:v>265.14385342990437</x:v>
      </x:c>
      <x:c r="J22" s="11" t="n">
        <x:f>C22*0.44704/SQRT(1.4*287.05287*(288.15-0.0065*B22*0.3048))</x:f>
        <x:v>0.42247744892788913</x:v>
      </x:c>
      <x:c r="K22" s="12" t="n">
        <x:f>0.5*H22*(C22*0.44704)^2</x:f>
        <x:v>8605.220227380585</x:v>
      </x:c>
      <x:c r="L22" s="11" t="n">
        <x:f>'Assumptions'!$C$6*0.09290304</x:f>
        <x:v>21.646408320000003</x:v>
      </x:c>
      <x:c r="M22" s="11" t="n">
        <x:f>('Assumptions'!$C$7*0.3048)^2/L22</x:f>
        <x:v>5.875536480686696</x:v>
      </x:c>
      <x:c r="N22" s="11" t="n">
        <x:f>1/(PI()*M22*'Assumptions'!$C$9)</x:f>
        <x:v>0.06771932385027686</x:v>
      </x:c>
      <x:c r="O22" s="13" t="n">
        <x:f>G22/'Assumptions'!$C$6</x:f>
        <x:v>39.65665236051502</x:v>
      </x:c>
      <x:c r="P22" s="14" t="n">
        <x:f>F22/G22</x:f>
        <x:v>0.18344155844155843</x:v>
      </x:c>
      <x:c r="Q22" s="15" t="n">
        <x:f>G22*4.4482216153/(K22*L22)</x:f>
        <x:v>0.22065336332588542</x:v>
      </x:c>
      <x:c r="R22" s="15" t="n">
        <x:f>'Assumptions'!$C$8+'Assumptions'!$C$13</x:f>
        <x:v>0.016</x:v>
      </x:c>
      <x:c r="S22" s="15" t="n">
        <x:f>N22*Q22^2</x:f>
        <x:v>0.003297112124593879</x:v>
      </x:c>
      <x:c r="T22" s="15" t="n">
        <x:f>'Assumptions'!$C$14</x:f>
        <x:v>0</x:v>
      </x:c>
      <x:c r="U22" s="15" t="n">
        <x:f>SUM(R22:T22)</x:f>
        <x:v>0.01929711212459388</x:v>
      </x:c>
      <x:c r="V22" s="16" t="n">
        <x:f>K22*L22*R22/4.4482216153</x:f>
        <x:v>670.0101814521335</x:v>
      </x:c>
      <x:c r="W22" s="16" t="n">
        <x:f>K22*L22*S22/4.4482216153</x:f>
        <x:v>138.06866830419838</x:v>
      </x:c>
      <x:c r="X22" s="16" t="n">
        <x:f>K22*L22*T22/4.4482216153</x:f>
        <x:v>0</x:v>
      </x:c>
      <x:c r="Y22" s="16" t="n">
        <x:f>SUM(V22:X22)</x:f>
        <x:v>808.0788497563318</x:v>
      </x:c>
      <x:c r="Z22" s="9" t="n">
        <x:f>V22/Y22</x:f>
        <x:v>0.8291396089059482</x:v>
      </x:c>
      <x:c r="AA22" s="9" t="n">
        <x:f>W22/Y22</x:f>
        <x:v>0.1708603910940518</x:v>
      </x:c>
      <x:c r="AB22" s="13" t="n">
        <x:f>G22/Y22</x:f>
        <x:v>11.43452771073792</x:v>
      </x:c>
      <x:c r="AC22" s="11" t="n">
        <x:f>'Assumptions'!$C$10</x:f>
        <x:v>0.8</x:v>
      </x:c>
      <x:c r="AD22" s="16" t="n">
        <x:f>F22</x:f>
        <x:v>1695</x:v>
      </x:c>
      <x:c r="AE22" s="16" t="n">
        <x:f>AD22*AC22</x:f>
        <x:v>1356</x:v>
      </x:c>
      <x:c r="AF22" s="16" t="n">
        <x:f>Y22*4.4482216153*(C22*0.44704)/745.6998716</x:f>
        <x:v>668.0118491219501</x:v>
      </x:c>
      <x:c r="AG22" s="16" t="n">
        <x:f>AF22/AC22</x:f>
        <x:v>835.0148114024377</x:v>
      </x:c>
      <x:c r="AH22" s="16" t="n">
        <x:f>AE22-AF22</x:f>
        <x:v>687.9881508780499</x:v>
      </x:c>
      <x:c r="AI22" s="16" t="n">
        <x:f>AH22*745.6998716/(G22*4.4482216153)</x:f>
        <x:v>12.48207073754484</x:v>
      </x:c>
      <x:c r="AJ22" s="16" t="n">
        <x:f>AI22*196.8503937</x:f>
        <x:v>2457.1005388769513</x:v>
      </x:c>
      <x:c r="AK22" s="16" t="n">
        <x:f>AH22*745.6998716/(G22*0.45359237*C22*0.44704)</x:f>
        <x:v>0.8832817082070382</x:v>
      </x:c>
      <x:c r="AL22" s="16" t="n">
        <x:f>SQRT(2*G22*4.4482216153/(1.225*L22*'Assumptions'!$C$11))/0.44704</x:f>
        <x:v>98.46385799361909</x:v>
      </x:c>
      <x:c r="AM22" s="16" t="n">
        <x:f>MIN('Assumptions'!$C$12,'Assumptions'!$C$11*K22*L22/(G22*4.4482216153))</x:f>
        <x:v>6</x:v>
      </x:c>
      <x:c r="AN22" s="16" t="n">
        <x:f>IF(AE22*745.6998716/(C22*0.44704)-(V22+X22)*4.4482216153&lt;W22*4.4482216153,"n.a.",MIN(AM22,SQRT((AE22*745.6998716/(C22*0.44704)-(V22+X22)*4.4482216153)/(W22*4.4482216153))))</x:f>
        <x:v>2.6509908120179526</x:v>
      </x:c>
      <x:c r="AO22" s="16" t="n">
        <x:f>IF(AM22&gt;1,9.80665*SQRT(AM22^2-1)/(C22*0.44704)*180/PI(),"n.a.")</x:f>
        <x:v>23.986630873435494</x:v>
      </x:c>
      <x:c r="AP22" s="16" t="n">
        <x:f>IF(ISNUMBER(AN22),IF(AN22&gt;1,9.80665*SQRT(AN22^2-1)/(C22*0.44704)*180/PI(),"n.a."),"n.a.")</x:f>
        <x:v>9.954350486324003</x:v>
      </x:c>
      <x:c r="AQ22" s="16" t="n">
        <x:f>IF(AM22&gt;1,(C22*0.44704)^2/(9.80665*SQRT(AM22^2-1)),"n.a.")</x:f>
        <x:v>331.02550652861004</x:v>
      </x:c>
      <x:c r="AR22" s="16" t="n">
        <x:f>IF(ISNUMBER(AN22),IF(AN22&gt;1,(C22*0.44704)^2/(9.80665*SQRT(AN22^2-1)),"n.a."),"n.a.")</x:f>
        <x:v>797.6599423239692</x:v>
      </x:c>
      <x:c r="AS22" s="6" t="str">
        <x:f>IF(I22&gt;=AL22,"Within modeled CLmax","Below modeled stall")</x:f>
        <x:v>Within modeled CLmax</x:v>
      </x:c>
      <x:c r="AT22" s="6" t="str">
        <x:v>D: aero and eta estimated</x:v>
      </x:c>
      <x:c r="AU22" s="6" t="str">
        <x:v>Fixed BHP node snapshot; no source-backed 6G/CLmax/eta map</x:v>
      </x:c>
    </x:row>
    <x:row r="23">
      <x:c r="B23" s="10" t="n">
        <x:v>10300</x:v>
      </x:c>
      <x:c r="C23" s="10" t="n">
        <x:v>340</x:v>
      </x:c>
      <x:c r="D23" s="6" t="str">
        <x:v>67inHg</x:v>
      </x:c>
      <x:c r="E23" s="6" t="str">
        <x:v>low</x:v>
      </x:c>
      <x:c r="F23" s="6" t="n">
        <x:v>1695</x:v>
      </x:c>
      <x:c r="G23" s="6" t="n">
        <x:f>'Assumptions'!$C$5</x:f>
        <x:v>9240</x:v>
      </x:c>
      <x:c r="H23" s="11" t="n">
        <x:f>(101325*((288.15-0.0065*B23*0.3048)/288.15)^5.2558797)/(287.05287*(288.15-0.0065*B23*0.3048))</x:f>
        <x:v>0.8961399291288429</x:v>
      </x:c>
      <x:c r="I23" s="11" t="n">
        <x:f>C23*SQRT(H23/1.225)</x:f>
        <x:v>290.8029360198951</x:v>
      </x:c>
      <x:c r="J23" s="11" t="n">
        <x:f>C23*0.44704/SQRT(1.4*287.05287*(288.15-0.0065*B23*0.3048))</x:f>
        <x:v>0.4633623633402654</x:v>
      </x:c>
      <x:c r="K23" s="12" t="n">
        <x:f>0.5*H23*(C23*0.44704)^2</x:f>
        <x:v>10351.336714726282</x:v>
      </x:c>
      <x:c r="L23" s="11" t="n">
        <x:f>'Assumptions'!$C$6*0.09290304</x:f>
        <x:v>21.646408320000003</x:v>
      </x:c>
      <x:c r="M23" s="11" t="n">
        <x:f>('Assumptions'!$C$7*0.3048)^2/L23</x:f>
        <x:v>5.875536480686696</x:v>
      </x:c>
      <x:c r="N23" s="11" t="n">
        <x:f>1/(PI()*M23*'Assumptions'!$C$9)</x:f>
        <x:v>0.06771932385027686</x:v>
      </x:c>
      <x:c r="O23" s="13" t="n">
        <x:f>G23/'Assumptions'!$C$6</x:f>
        <x:v>39.65665236051502</x:v>
      </x:c>
      <x:c r="P23" s="14" t="n">
        <x:f>F23/G23</x:f>
        <x:v>0.18344155844155843</x:v>
      </x:c>
      <x:c r="Q23" s="15" t="n">
        <x:f>G23*4.4482216153/(K23*L23)</x:f>
        <x:v>0.18343242401053278</x:v>
      </x:c>
      <x:c r="R23" s="15" t="n">
        <x:f>'Assumptions'!$C$8+'Assumptions'!$C$13</x:f>
        <x:v>0.016</x:v>
      </x:c>
      <x:c r="S23" s="15" t="n">
        <x:f>N23*Q23^2</x:f>
        <x:v>0.0022785828462430586</x:v>
      </x:c>
      <x:c r="T23" s="15" t="n">
        <x:f>'Assumptions'!$C$14</x:f>
        <x:v>0</x:v>
      </x:c>
      <x:c r="U23" s="15" t="n">
        <x:f>SUM(R23:T23)</x:f>
        <x:v>0.01827858284624306</x:v>
      </x:c>
      <x:c r="V23" s="16" t="n">
        <x:f>K23*L23*R23/4.4482216153</x:f>
        <x:v>805.9643806021501</x:v>
      </x:c>
      <x:c r="W23" s="16" t="n">
        <x:f>K23*L23*S23/4.4482216153</x:f>
        <x:v>114.77853827018568</x:v>
      </x:c>
      <x:c r="X23" s="16" t="n">
        <x:f>K23*L23*T23/4.4482216153</x:f>
        <x:v>0</x:v>
      </x:c>
      <x:c r="Y23" s="16" t="n">
        <x:f>SUM(V23:X23)</x:f>
        <x:v>920.7429188723357</x:v>
      </x:c>
      <x:c r="Z23" s="9" t="n">
        <x:f>V23/Y23</x:f>
        <x:v>0.8753413836614038</x:v>
      </x:c>
      <x:c r="AA23" s="9" t="n">
        <x:f>W23/Y23</x:f>
        <x:v>0.12465861633859616</x:v>
      </x:c>
      <x:c r="AB23" s="13" t="n">
        <x:f>G23/Y23</x:f>
        <x:v>10.035374490109067</x:v>
      </x:c>
      <x:c r="AC23" s="11" t="n">
        <x:f>'Assumptions'!$C$10</x:f>
        <x:v>0.8</x:v>
      </x:c>
      <x:c r="AD23" s="16" t="n">
        <x:f>F23</x:f>
        <x:v>1695</x:v>
      </x:c>
      <x:c r="AE23" s="16" t="n">
        <x:f>AD23*AC23</x:f>
        <x:v>1356</x:v>
      </x:c>
      <x:c r="AF23" s="16" t="n">
        <x:f>Y23*4.4482216153*(C23*0.44704)/745.6998716</x:f>
        <x:v>834.8069130984821</x:v>
      </x:c>
      <x:c r="AG23" s="16" t="n">
        <x:f>AF23/AC23</x:f>
        <x:v>1043.5086413731026</x:v>
      </x:c>
      <x:c r="AH23" s="16" t="n">
        <x:f>AE23-AF23</x:f>
        <x:v>521.1930869015179</x:v>
      </x:c>
      <x:c r="AI23" s="16" t="n">
        <x:f>AH23*745.6998716/(G23*4.4482216153)</x:f>
        <x:v>9.455931719639825</x:v>
      </x:c>
      <x:c r="AJ23" s="16" t="n">
        <x:f>AI23*196.8503937</x:f>
        <x:v>1861.4038818114177</x:v>
      </x:c>
      <x:c r="AK23" s="16" t="n">
        <x:f>AH23*745.6998716/(G23*0.45359237*C23*0.44704)</x:f>
        <x:v>0.6100981409692863</x:v>
      </x:c>
      <x:c r="AL23" s="16" t="n">
        <x:f>SQRT(2*G23*4.4482216153/(1.225*L23*'Assumptions'!$C$11))/0.44704</x:f>
        <x:v>98.46385799361909</x:v>
      </x:c>
      <x:c r="AM23" s="16" t="n">
        <x:f>MIN('Assumptions'!$C$12,'Assumptions'!$C$11*K23*L23/(G23*4.4482216153))</x:f>
        <x:v>6</x:v>
      </x:c>
      <x:c r="AN23" s="16" t="n">
        <x:f>IF(AE23*745.6998716/(C23*0.44704)-(V23+X23)*4.4482216153&lt;W23*4.4482216153,"n.a.",MIN(AM23,SQRT((AE23*745.6998716/(C23*0.44704)-(V23+X23)*4.4482216153)/(W23*4.4482216153))))</x:f>
        <x:v>2.451183322316927</x:v>
      </x:c>
      <x:c r="AO23" s="16" t="n">
        <x:f>IF(AM23&gt;1,9.80665*SQRT(AM23^2-1)/(C23*0.44704)*180/PI(),"n.a.")</x:f>
        <x:v>21.87016344342648</x:v>
      </x:c>
      <x:c r="AP23" s="16" t="n">
        <x:f>IF(ISNUMBER(AN23),IF(AN23&gt;1,9.80665*SQRT(AN23^2-1)/(C23*0.44704)*180/PI(),"n.a."),"n.a.")</x:f>
        <x:v>8.273002591168105</x:v>
      </x:c>
      <x:c r="AQ23" s="16" t="n">
        <x:f>IF(AM23&gt;1,(C23*0.44704)^2/(9.80665*SQRT(AM23^2-1)),"n.a.")</x:f>
        <x:v>398.19509422172024</x:v>
      </x:c>
      <x:c r="AR23" s="16" t="n">
        <x:f>IF(ISNUMBER(AN23),IF(AN23&gt;1,(C23*0.44704)^2/(9.80665*SQRT(AN23^2-1)),"n.a."),"n.a.")</x:f>
        <x:v>1052.6518875137958</x:v>
      </x:c>
      <x:c r="AS23" s="6" t="str">
        <x:f>IF(I23&gt;=AL23,"Within modeled CLmax","Below modeled stall")</x:f>
        <x:v>Within modeled CLmax</x:v>
      </x:c>
      <x:c r="AT23" s="6" t="str">
        <x:v>D: aero and eta estimated</x:v>
      </x:c>
      <x:c r="AU23" s="6" t="str">
        <x:v>Fixed BHP node snapshot; no source-backed 6G/CLmax/eta map</x:v>
      </x:c>
    </x:row>
    <x:row r="24">
      <x:c r="B24" s="10" t="n">
        <x:v>10300</x:v>
      </x:c>
      <x:c r="C24" s="10" t="n">
        <x:v>370</x:v>
      </x:c>
      <x:c r="D24" s="6" t="str">
        <x:v>67inHg</x:v>
      </x:c>
      <x:c r="E24" s="6" t="str">
        <x:v>low</x:v>
      </x:c>
      <x:c r="F24" s="6" t="n">
        <x:v>1695</x:v>
      </x:c>
      <x:c r="G24" s="6" t="n">
        <x:f>'Assumptions'!$C$5</x:f>
        <x:v>9240</x:v>
      </x:c>
      <x:c r="H24" s="11" t="n">
        <x:f>(101325*((288.15-0.0065*B24*0.3048)/288.15)^5.2558797)/(287.05287*(288.15-0.0065*B24*0.3048))</x:f>
        <x:v>0.8961399291288429</x:v>
      </x:c>
      <x:c r="I24" s="11" t="n">
        <x:f>C24*SQRT(H24/1.225)</x:f>
        <x:v>316.46201860988583</x:v>
      </x:c>
      <x:c r="J24" s="11" t="n">
        <x:f>C24*0.44704/SQRT(1.4*287.05287*(288.15-0.0065*B24*0.3048))</x:f>
        <x:v>0.5042472777526418</x:v>
      </x:c>
      <x:c r="K24" s="12" t="n">
        <x:f>0.5*H24*(C24*0.44704)^2</x:f>
        <x:v>12258.633185519271</x:v>
      </x:c>
      <x:c r="L24" s="11" t="n">
        <x:f>'Assumptions'!$C$6*0.09290304</x:f>
        <x:v>21.646408320000003</x:v>
      </x:c>
      <x:c r="M24" s="11" t="n">
        <x:f>('Assumptions'!$C$7*0.3048)^2/L24</x:f>
        <x:v>5.875536480686696</x:v>
      </x:c>
      <x:c r="N24" s="11" t="n">
        <x:f>1/(PI()*M24*'Assumptions'!$C$9)</x:f>
        <x:v>0.06771932385027686</x:v>
      </x:c>
      <x:c r="O24" s="13" t="n">
        <x:f>G24/'Assumptions'!$C$6</x:f>
        <x:v>39.65665236051502</x:v>
      </x:c>
      <x:c r="P24" s="14" t="n">
        <x:f>F24/G24</x:f>
        <x:v>0.18344155844155843</x:v>
      </x:c>
      <x:c r="Q24" s="15" t="n">
        <x:f>G24*4.4482216153/(K24*L24)</x:f>
        <x:v>0.1548925362718597</x:v>
      </x:c>
      <x:c r="R24" s="15" t="n">
        <x:f>'Assumptions'!$C$8+'Assumptions'!$C$13</x:f>
        <x:v>0.016</x:v>
      </x:c>
      <x:c r="S24" s="15" t="n">
        <x:f>N24*Q24^2</x:f>
        <x:v>0.0016247015525438129</x:v>
      </x:c>
      <x:c r="T24" s="15" t="n">
        <x:f>'Assumptions'!$C$14</x:f>
        <x:v>0</x:v>
      </x:c>
      <x:c r="U24" s="15" t="n">
        <x:f>SUM(R24:T24)</x:f>
        <x:v>0.017624701552543812</x:v>
      </x:c>
      <x:c r="V24" s="16" t="n">
        <x:f>K24*L24*R24/4.4482216153</x:f>
        <x:v>954.4681981352451</x:v>
      </x:c>
      <x:c r="W24" s="16" t="n">
        <x:f>K24*L24*S24/4.4482216153</x:f>
        <x:v>96.92037271025177</x:v>
      </x:c>
      <x:c r="X24" s="16" t="n">
        <x:f>K24*L24*T24/4.4482216153</x:f>
        <x:v>0</x:v>
      </x:c>
      <x:c r="Y24" s="16" t="n">
        <x:f>SUM(V24:X24)</x:f>
        <x:v>1051.3885708454968</x:v>
      </x:c>
      <x:c r="Z24" s="9" t="n">
        <x:f>V24/Y24</x:f>
        <x:v>0.9078167906730134</x:v>
      </x:c>
      <x:c r="AA24" s="9" t="n">
        <x:f>W24/Y24</x:f>
        <x:v>0.09218320932698665</x:v>
      </x:c>
      <x:c r="AB24" s="13" t="n">
        <x:f>G24/Y24</x:f>
        <x:v>8.788377823595185</x:v>
      </x:c>
      <x:c r="AC24" s="11" t="n">
        <x:f>'Assumptions'!$C$10</x:f>
        <x:v>0.8</x:v>
      </x:c>
      <x:c r="AD24" s="16" t="n">
        <x:f>F24</x:f>
        <x:v>1695</x:v>
      </x:c>
      <x:c r="AE24" s="16" t="n">
        <x:f>AD24*AC24</x:f>
        <x:v>1356</x:v>
      </x:c>
      <x:c r="AF24" s="16" t="n">
        <x:f>Y24*4.4482216153*(C24*0.44704)/745.6998716</x:f>
        <x:v>1037.3700565521037</x:v>
      </x:c>
      <x:c r="AG24" s="16" t="n">
        <x:f>AF24/AC24</x:f>
        <x:v>1296.7125706901295</x:v>
      </x:c>
      <x:c r="AH24" s="16" t="n">
        <x:f>AE24-AF24</x:f>
        <x:v>318.62994344789627</x:v>
      </x:c>
      <x:c r="AI24" s="16" t="n">
        <x:f>AH24*745.6998716/(G24*4.4482216153)</x:f>
        <x:v>5.780857545497945</x:v>
      </x:c>
      <x:c r="AJ24" s="16" t="n">
        <x:f>AI24*196.8503937</x:f>
        <x:v>1137.9640837548861</x:v>
      </x:c>
      <x:c r="AK24" s="16" t="n">
        <x:f>AH24*745.6998716/(G24*0.45359237*C24*0.44704)</x:f>
        <x:v>0.34274003323398616</x:v>
      </x:c>
      <x:c r="AL24" s="16" t="n">
        <x:f>SQRT(2*G24*4.4482216153/(1.225*L24*'Assumptions'!$C$11))/0.44704</x:f>
        <x:v>98.46385799361909</x:v>
      </x:c>
      <x:c r="AM24" s="16" t="n">
        <x:f>MIN('Assumptions'!$C$12,'Assumptions'!$C$11*K24*L24/(G24*4.4482216153))</x:f>
        <x:v>6</x:v>
      </x:c>
      <x:c r="AN24" s="16" t="n">
        <x:f>IF(AE24*745.6998716/(C24*0.44704)-(V24+X24)*4.4482216153&lt;W24*4.4482216153,"n.a.",MIN(AM24,SQRT((AE24*745.6998716/(C24*0.44704)-(V24+X24)*4.4482216153)/(W24*4.4482216153))))</x:f>
        <x:v>2.0813384601747846</x:v>
      </x:c>
      <x:c r="AO24" s="16" t="n">
        <x:f>IF(AM24&gt;1,9.80665*SQRT(AM24^2-1)/(C24*0.44704)*180/PI(),"n.a.")</x:f>
        <x:v>20.09690694801352</x:v>
      </x:c>
      <x:c r="AP24" s="16" t="n">
        <x:f>IF(ISNUMBER(AN24),IF(AN24&gt;1,9.80665*SQRT(AN24^2-1)/(C24*0.44704)*180/PI(),"n.a."),"n.a.")</x:f>
        <x:v>6.2007714856811535</x:v>
      </x:c>
      <x:c r="AQ24" s="16" t="n">
        <x:f>IF(AM24&gt;1,(C24*0.44704)^2/(9.80665*SQRT(AM24^2-1)),"n.a.")</x:f>
        <x:v>471.56495154804065</x:v>
      </x:c>
      <x:c r="AR24" s="16" t="n">
        <x:f>IF(ISNUMBER(AN24),IF(AN24&gt;1,(C24*0.44704)^2/(9.80665*SQRT(AN24^2-1)),"n.a."),"n.a.")</x:f>
        <x:v>1528.3577169534142</x:v>
      </x:c>
      <x:c r="AS24" s="6" t="str">
        <x:f>IF(I24&gt;=AL24,"Within modeled CLmax","Below modeled stall")</x:f>
        <x:v>Within modeled CLmax</x:v>
      </x:c>
      <x:c r="AT24" s="6" t="str">
        <x:v>D: aero and eta estimated</x:v>
      </x:c>
      <x:c r="AU24" s="6" t="str">
        <x:v>Fixed BHP node snapshot; no source-backed 6G/CLmax/eta map</x:v>
      </x:c>
    </x:row>
    <x:row r="25">
      <x:c r="B25" s="10" t="n">
        <x:v>10300</x:v>
      </x:c>
      <x:c r="C25" s="10" t="n">
        <x:v>400</x:v>
      </x:c>
      <x:c r="D25" s="6" t="str">
        <x:v>67inHg</x:v>
      </x:c>
      <x:c r="E25" s="6" t="str">
        <x:v>low</x:v>
      </x:c>
      <x:c r="F25" s="6" t="n">
        <x:v>1695</x:v>
      </x:c>
      <x:c r="G25" s="6" t="n">
        <x:f>'Assumptions'!$C$5</x:f>
        <x:v>9240</x:v>
      </x:c>
      <x:c r="H25" s="11" t="n">
        <x:f>(101325*((288.15-0.0065*B25*0.3048)/288.15)^5.2558797)/(287.05287*(288.15-0.0065*B25*0.3048))</x:f>
        <x:v>0.8961399291288429</x:v>
      </x:c>
      <x:c r="I25" s="11" t="n">
        <x:f>C25*SQRT(H25/1.225)</x:f>
        <x:v>342.1211011998766</x:v>
      </x:c>
      <x:c r="J25" s="11" t="n">
        <x:f>C25*0.44704/SQRT(1.4*287.05287*(288.15-0.0065*B25*0.3048))</x:f>
        <x:v>0.5451321921650182</x:v>
      </x:c>
      <x:c r="K25" s="12" t="n">
        <x:f>0.5*H25*(C25*0.44704)^2</x:f>
        <x:v>14327.109639759561</x:v>
      </x:c>
      <x:c r="L25" s="11" t="n">
        <x:f>'Assumptions'!$C$6*0.09290304</x:f>
        <x:v>21.646408320000003</x:v>
      </x:c>
      <x:c r="M25" s="11" t="n">
        <x:f>('Assumptions'!$C$7*0.3048)^2/L25</x:f>
        <x:v>5.875536480686696</x:v>
      </x:c>
      <x:c r="N25" s="11" t="n">
        <x:f>1/(PI()*M25*'Assumptions'!$C$9)</x:f>
        <x:v>0.06771932385027686</x:v>
      </x:c>
      <x:c r="O25" s="13" t="n">
        <x:f>G25/'Assumptions'!$C$6</x:f>
        <x:v>39.65665236051502</x:v>
      </x:c>
      <x:c r="P25" s="14" t="n">
        <x:f>F25/G25</x:f>
        <x:v>0.18344155844155843</x:v>
      </x:c>
      <x:c r="Q25" s="15" t="n">
        <x:f>G25*4.4482216153/(K25*L25)</x:f>
        <x:v>0.13252992634760993</x:v>
      </x:c>
      <x:c r="R25" s="15" t="n">
        <x:f>'Assumptions'!$C$8+'Assumptions'!$C$13</x:f>
        <x:v>0.016</x:v>
      </x:c>
      <x:c r="S25" s="15" t="n">
        <x:f>N25*Q25^2</x:f>
        <x:v>0.0011894344868816655</x:v>
      </x:c>
      <x:c r="T25" s="15" t="n">
        <x:f>'Assumptions'!$C$14</x:f>
        <x:v>0</x:v>
      </x:c>
      <x:c r="U25" s="15" t="n">
        <x:f>SUM(R25:T25)</x:f>
        <x:v>0.017189434486881667</x:v>
      </x:c>
      <x:c r="V25" s="16" t="n">
        <x:f>K25*L25*R25/4.4482216153</x:f>
        <x:v>1115.521634051419</x:v>
      </x:c>
      <x:c r="W25" s="16" t="n">
        <x:f>K25*L25*S25/4.4482216153</x:f>
        <x:v>82.92749390020914</x:v>
      </x:c>
      <x:c r="X25" s="16" t="n">
        <x:f>K25*L25*T25/4.4482216153</x:f>
        <x:v>0</x:v>
      </x:c>
      <x:c r="Y25" s="16" t="n">
        <x:f>SUM(V25:X25)</x:f>
        <x:v>1198.449127951628</x:v>
      </x:c>
      <x:c r="Z25" s="9" t="n">
        <x:f>V25/Y25</x:f>
        <x:v>0.9308043270539588</x:v>
      </x:c>
      <x:c r="AA25" s="9" t="n">
        <x:f>W25/Y25</x:f>
        <x:v>0.0691956729460412</x:v>
      </x:c>
      <x:c r="AB25" s="13" t="n">
        <x:f>G25/Y25</x:f>
        <x:v>7.70996430678111</x:v>
      </x:c>
      <x:c r="AC25" s="11" t="n">
        <x:f>'Assumptions'!$C$10</x:f>
        <x:v>0.8</x:v>
      </x:c>
      <x:c r="AD25" s="16" t="n">
        <x:f>F25</x:f>
        <x:v>1695</x:v>
      </x:c>
      <x:c r="AE25" s="16" t="n">
        <x:f>AD25*AC25</x:f>
        <x:v>1356</x:v>
      </x:c>
      <x:c r="AF25" s="16" t="n">
        <x:f>Y25*4.4482216153*(C25*0.44704)/745.6998716</x:f>
        <x:v>1278.345736462694</x:v>
      </x:c>
      <x:c r="AG25" s="16" t="n">
        <x:f>AF25/AC25</x:f>
        <x:v>1597.9321705783675</x:v>
      </x:c>
      <x:c r="AH25" s="16" t="n">
        <x:f>AE25-AF25</x:f>
        <x:v>77.65426353730595</x:v>
      </x:c>
      <x:c r="AI25" s="16" t="n">
        <x:f>AH25*745.6998716/(G25*4.4482216153)</x:f>
        <x:v>1.4088702099121089</x:v>
      </x:c>
      <x:c r="AJ25" s="16" t="n">
        <x:f>AI25*196.8503937</x:f>
        <x:v>277.3366554934003</x:v>
      </x:c>
      <x:c r="AK25" s="16" t="n">
        <x:f>AH25*745.6998716/(G25*0.45359237*C25*0.44704)</x:f>
        <x:v>0.0772654406996984</x:v>
      </x:c>
      <x:c r="AL25" s="16" t="n">
        <x:f>SQRT(2*G25*4.4482216153/(1.225*L25*'Assumptions'!$C$11))/0.44704</x:f>
        <x:v>98.46385799361909</x:v>
      </x:c>
      <x:c r="AM25" s="16" t="n">
        <x:f>MIN('Assumptions'!$C$12,'Assumptions'!$C$11*K25*L25/(G25*4.4482216153))</x:f>
        <x:v>6</x:v>
      </x:c>
      <x:c r="AN25" s="16" t="n">
        <x:f>IF(AE25*745.6998716/(C25*0.44704)-(V25+X25)*4.4482216153&lt;W25*4.4482216153,"n.a.",MIN(AM25,SQRT((AE25*745.6998716/(C25*0.44704)-(V25+X25)*4.4482216153)/(W25*4.4482216153))))</x:f>
        <x:v>1.3703597458601207</x:v>
      </x:c>
      <x:c r="AO25" s="16" t="n">
        <x:f>IF(AM25&gt;1,9.80665*SQRT(AM25^2-1)/(C25*0.44704)*180/PI(),"n.a.")</x:f>
        <x:v>18.589638926912507</x:v>
      </x:c>
      <x:c r="AP25" s="16" t="n">
        <x:f>IF(ISNUMBER(AN25),IF(AN25&gt;1,9.80665*SQRT(AN25^2-1)/(C25*0.44704)*180/PI(),"n.a."),"n.a.")</x:f>
        <x:v>2.9441230167994745</x:v>
      </x:c>
      <x:c r="AQ25" s="16" t="n">
        <x:f>IF(AM25&gt;1,(C25*0.44704)^2/(9.80665*SQRT(AM25^2-1)),"n.a.")</x:f>
        <x:v>551.1350785075714</x:v>
      </x:c>
      <x:c r="AR25" s="16" t="n">
        <x:f>IF(ISNUMBER(AN25),IF(AN25&gt;1,(C25*0.44704)^2/(9.80665*SQRT(AN25^2-1)),"n.a."),"n.a.")</x:f>
        <x:v>3479.950413399845</x:v>
      </x:c>
      <x:c r="AS25" s="6" t="str">
        <x:f>IF(I25&gt;=AL25,"Within modeled CLmax","Below modeled stall")</x:f>
        <x:v>Within modeled CLmax</x:v>
      </x:c>
      <x:c r="AT25" s="6" t="str">
        <x:v>D: aero and eta estimated</x:v>
      </x:c>
      <x:c r="AU25" s="6" t="str">
        <x:v>Fixed BHP node snapshot; no source-backed 6G/CLmax/eta map</x:v>
      </x:c>
    </x:row>
    <x:row r="26">
      <x:c r="B26" s="10" t="n">
        <x:v>10300</x:v>
      </x:c>
      <x:c r="C26" s="10" t="n">
        <x:v>430</x:v>
      </x:c>
      <x:c r="D26" s="6" t="str">
        <x:v>67inHg</x:v>
      </x:c>
      <x:c r="E26" s="6" t="str">
        <x:v>low</x:v>
      </x:c>
      <x:c r="F26" s="6" t="n">
        <x:v>1695</x:v>
      </x:c>
      <x:c r="G26" s="6" t="n">
        <x:f>'Assumptions'!$C$5</x:f>
        <x:v>9240</x:v>
      </x:c>
      <x:c r="H26" s="11" t="n">
        <x:f>(101325*((288.15-0.0065*B26*0.3048)/288.15)^5.2558797)/(287.05287*(288.15-0.0065*B26*0.3048))</x:f>
        <x:v>0.8961399291288429</x:v>
      </x:c>
      <x:c r="I26" s="11" t="n">
        <x:f>C26*SQRT(H26/1.225)</x:f>
        <x:v>367.78018378986735</x:v>
      </x:c>
      <x:c r="J26" s="11" t="n">
        <x:f>C26*0.44704/SQRT(1.4*287.05287*(288.15-0.0065*B26*0.3048))</x:f>
        <x:v>0.5860171065773946</x:v>
      </x:c>
      <x:c r="K26" s="12" t="n">
        <x:f>0.5*H26*(C26*0.44704)^2</x:f>
        <x:v>16556.76607744714</x:v>
      </x:c>
      <x:c r="L26" s="11" t="n">
        <x:f>'Assumptions'!$C$6*0.09290304</x:f>
        <x:v>21.646408320000003</x:v>
      </x:c>
      <x:c r="M26" s="11" t="n">
        <x:f>('Assumptions'!$C$7*0.3048)^2/L26</x:f>
        <x:v>5.875536480686696</x:v>
      </x:c>
      <x:c r="N26" s="11" t="n">
        <x:f>1/(PI()*M26*'Assumptions'!$C$9)</x:f>
        <x:v>0.06771932385027686</x:v>
      </x:c>
      <x:c r="O26" s="13" t="n">
        <x:f>G26/'Assumptions'!$C$6</x:f>
        <x:v>39.65665236051502</x:v>
      </x:c>
      <x:c r="P26" s="14" t="n">
        <x:f>F26/G26</x:f>
        <x:v>0.18344155844155843</x:v>
      </x:c>
      <x:c r="Q26" s="15" t="n">
        <x:f>G26*4.4482216153/(K26*L26)</x:f>
        <x:v>0.11468246736407565</x:v>
      </x:c>
      <x:c r="R26" s="15" t="n">
        <x:f>'Assumptions'!$C$8+'Assumptions'!$C$13</x:f>
        <x:v>0.016</x:v>
      </x:c>
      <x:c r="S26" s="15" t="n">
        <x:f>N26*Q26^2</x:f>
        <x:v>0.0008906491739112816</x:v>
      </x:c>
      <x:c r="T26" s="15" t="n">
        <x:f>'Assumptions'!$C$14</x:f>
        <x:v>0</x:v>
      </x:c>
      <x:c r="U26" s="15" t="n">
        <x:f>SUM(R26:T26)</x:f>
        <x:v>0.016890649173911282</x:v>
      </x:c>
      <x:c r="V26" s="16" t="n">
        <x:f>K26*L26*R26/4.4482216153</x:f>
        <x:v>1289.1246883506708</x:v>
      </x:c>
      <x:c r="W26" s="16" t="n">
        <x:f>K26*L26*S26/4.4482216153</x:f>
        <x:v>71.75986492176021</x:v>
      </x:c>
      <x:c r="X26" s="16" t="n">
        <x:f>K26*L26*T26/4.4482216153</x:f>
        <x:v>0</x:v>
      </x:c>
      <x:c r="Y26" s="16" t="n">
        <x:f>SUM(V26:X26)</x:f>
        <x:v>1360.884553272431</x:v>
      </x:c>
      <x:c r="Z26" s="9" t="n">
        <x:f>V26/Y26</x:f>
        <x:v>0.9472696895932841</x:v>
      </x:c>
      <x:c r="AA26" s="9" t="n">
        <x:f>W26/Y26</x:f>
        <x:v>0.05273031040671591</x:v>
      </x:c>
      <x:c r="AB26" s="13" t="n">
        <x:f>G26/Y26</x:f>
        <x:v>6.789701578859992</x:v>
      </x:c>
      <x:c r="AC26" s="11" t="n">
        <x:f>'Assumptions'!$C$10</x:f>
        <x:v>0.8</x:v>
      </x:c>
      <x:c r="AD26" s="16" t="n">
        <x:f>F26</x:f>
        <x:v>1695</x:v>
      </x:c>
      <x:c r="AE26" s="16" t="n">
        <x:f>AD26*AC26</x:f>
        <x:v>1356</x:v>
      </x:c>
      <x:c r="AF26" s="16" t="n">
        <x:f>Y26*4.4482216153*(C26*0.44704)/745.6998716</x:f>
        <x:v>1560.480954395809</x:v>
      </x:c>
      <x:c r="AG26" s="16" t="n">
        <x:f>AF26/AC26</x:f>
        <x:v>1950.6011929947613</x:v>
      </x:c>
      <x:c r="AH26" s="16" t="n">
        <x:f>AE26-AF26</x:f>
        <x:v>-204.48095439580902</x:v>
      </x:c>
      <x:c r="AI26" s="16" t="n">
        <x:f>AH26*745.6998716/(G26*4.4482216153)</x:f>
        <x:v>-3.7098687440935123</x:v>
      </x:c>
      <x:c r="AJ26" s="16" t="n">
        <x:f>AI26*196.8503937</x:f>
        <x:v>-730.2891228501325</x:v>
      </x:c>
      <x:c r="AK26" s="16" t="n">
        <x:f>AH26*745.6998716/(G26*0.45359237*C26*0.44704)</x:f>
        <x:v>-0.1892624161387551</x:v>
      </x:c>
      <x:c r="AL26" s="16" t="n">
        <x:f>SQRT(2*G26*4.4482216153/(1.225*L26*'Assumptions'!$C$11))/0.44704</x:f>
        <x:v>98.46385799361909</x:v>
      </x:c>
      <x:c r="AM26" s="16" t="n">
        <x:f>MIN('Assumptions'!$C$12,'Assumptions'!$C$11*K26*L26/(G26*4.4482216153))</x:f>
        <x:v>6</x:v>
      </x:c>
      <x:c r="AN26" s="16" t="str">
        <x:f>IF(AE26*745.6998716/(C26*0.44704)-(V26+X26)*4.4482216153&lt;W26*4.4482216153,"n.a.",MIN(AM26,SQRT((AE26*745.6998716/(C26*0.44704)-(V26+X26)*4.4482216153)/(W26*4.4482216153))))</x:f>
        <x:v>n.a.</x:v>
      </x:c>
      <x:c r="AO26" s="16" t="n">
        <x:f>IF(AM26&gt;1,9.80665*SQRT(AM26^2-1)/(C26*0.44704)*180/PI(),"n.a.")</x:f>
        <x:v>17.2926873738721</x:v>
      </x:c>
      <x:c r="AP26" s="16" t="str">
        <x:f>IF(ISNUMBER(AN26),IF(AN26&gt;1,9.80665*SQRT(AN26^2-1)/(C26*0.44704)*180/PI(),"n.a."),"n.a.")</x:f>
        <x:v>n.a.</x:v>
      </x:c>
      <x:c r="AQ26" s="16" t="n">
        <x:f>IF(AM26&gt;1,(C26*0.44704)^2/(9.80665*SQRT(AM26^2-1)),"n.a.")</x:f>
        <x:v>636.9054751003122</x:v>
      </x:c>
      <x:c r="AR26" s="16" t="str">
        <x:f>IF(ISNUMBER(AN26),IF(AN26&gt;1,(C26*0.44704)^2/(9.80665*SQRT(AN26^2-1)),"n.a."),"n.a.")</x:f>
        <x:v>n.a.</x:v>
      </x:c>
      <x:c r="AS26" s="6" t="str">
        <x:f>IF(I26&gt;=AL26,"Within modeled CLmax","Below modeled stall")</x:f>
        <x:v>Within modeled CLmax</x:v>
      </x:c>
      <x:c r="AT26" s="6" t="str">
        <x:v>D: aero and eta estimated</x:v>
      </x:c>
      <x:c r="AU26" s="6" t="str">
        <x:v>Fixed BHP node snapshot; no source-backed 6G/CLmax/eta map</x:v>
      </x:c>
    </x:row>
    <x:row r="27">
      <x:c r="B27" s="10" t="n">
        <x:v>20800</x:v>
      </x:c>
      <x:c r="C27" s="10" t="n">
        <x:v>130</x:v>
      </x:c>
      <x:c r="D27" s="6" t="str">
        <x:v>67inHg</x:v>
      </x:c>
      <x:c r="E27" s="6" t="str">
        <x:v>high</x:v>
      </x:c>
      <x:c r="F27" s="6" t="n">
        <x:v>1390</x:v>
      </x:c>
      <x:c r="G27" s="6" t="n">
        <x:f>'Assumptions'!$C$5</x:f>
        <x:v>9240</x:v>
      </x:c>
      <x:c r="H27" s="11" t="n">
        <x:f>(101325*((288.15-0.0065*B27*0.3048)/288.15)^5.2558797)/(287.05287*(288.15-0.0065*B27*0.3048))</x:f>
        <x:v>0.6351616440492905</x:v>
      </x:c>
      <x:c r="I27" s="11" t="n">
        <x:f>C27*SQRT(H27/1.225)</x:f>
        <x:v>93.6089642682467</x:v>
      </x:c>
      <x:c r="J27" s="11" t="n">
        <x:f>C27*0.44704/SQRT(1.4*287.05287*(288.15-0.0065*B27*0.3048))</x:f>
        <x:v>0.1844795097343284</x:v>
      </x:c>
      <x:c r="K27" s="12" t="n">
        <x:f>0.5*H27*(C27*0.44704)^2</x:f>
        <x:v>1072.5899959595788</x:v>
      </x:c>
      <x:c r="L27" s="11" t="n">
        <x:f>'Assumptions'!$C$6*0.09290304</x:f>
        <x:v>21.646408320000003</x:v>
      </x:c>
      <x:c r="M27" s="11" t="n">
        <x:f>('Assumptions'!$C$7*0.3048)^2/L27</x:f>
        <x:v>5.875536480686696</x:v>
      </x:c>
      <x:c r="N27" s="11" t="n">
        <x:f>1/(PI()*M27*'Assumptions'!$C$9)</x:f>
        <x:v>0.06771932385027686</x:v>
      </x:c>
      <x:c r="O27" s="13" t="n">
        <x:f>G27/'Assumptions'!$C$6</x:f>
        <x:v>39.65665236051502</x:v>
      </x:c>
      <x:c r="P27" s="14" t="n">
        <x:f>F27/G27</x:f>
        <x:v>0.15043290043290045</x:v>
      </x:c>
      <x:c r="Q27" s="15" t="n">
        <x:f>G27*4.4482216153/(K27*L27)</x:f>
        <x:v>1.7702671034450175</x:v>
      </x:c>
      <x:c r="R27" s="15" t="n">
        <x:f>'Assumptions'!$C$8+'Assumptions'!$C$13</x:f>
        <x:v>0.016</x:v>
      </x:c>
      <x:c r="S27" s="15" t="n">
        <x:f>N27*Q27^2</x:f>
        <x:v>0.21222190627093587</x:v>
      </x:c>
      <x:c r="T27" s="15" t="n">
        <x:f>'Assumptions'!$C$14</x:f>
        <x:v>0</x:v>
      </x:c>
      <x:c r="U27" s="15" t="n">
        <x:f>SUM(R27:T27)</x:f>
        <x:v>0.22822190627093586</x:v>
      </x:c>
      <x:c r="V27" s="16" t="n">
        <x:f>K27*L27*R27/4.4482216153</x:f>
        <x:v>83.512821151281</x:v>
      </x:c>
      <x:c r="W27" s="16" t="n">
        <x:f>K27*L27*S27/4.4482216153</x:f>
        <x:v>1107.7031314242868</x:v>
      </x:c>
      <x:c r="X27" s="16" t="n">
        <x:f>K27*L27*T27/4.4482216153</x:f>
        <x:v>0</x:v>
      </x:c>
      <x:c r="Y27" s="16" t="n">
        <x:f>SUM(V27:X27)</x:f>
        <x:v>1191.2159525755678</x:v>
      </x:c>
      <x:c r="Z27" s="9" t="n">
        <x:f>V27/Y27</x:f>
        <x:v>0.07010720513834216</x:v>
      </x:c>
      <x:c r="AA27" s="9" t="n">
        <x:f>W27/Y27</x:f>
        <x:v>0.9298927948616578</x:v>
      </x:c>
      <x:c r="AB27" s="13" t="n">
        <x:f>G27/Y27</x:f>
        <x:v>7.756779935679914</x:v>
      </x:c>
      <x:c r="AC27" s="11" t="n">
        <x:f>'Assumptions'!$C$10</x:f>
        <x:v>0.8</x:v>
      </x:c>
      <x:c r="AD27" s="16" t="n">
        <x:f>F27</x:f>
        <x:v>1390</x:v>
      </x:c>
      <x:c r="AE27" s="16" t="n">
        <x:f>AD27*AC27</x:f>
        <x:v>1112</x:v>
      </x:c>
      <x:c r="AF27" s="16" t="n">
        <x:f>Y27*4.4482216153*(C27*0.44704)/745.6998716</x:f>
        <x:v>412.95486355337874</x:v>
      </x:c>
      <x:c r="AG27" s="16" t="n">
        <x:f>AF27/AC27</x:f>
        <x:v>516.1935794417234</x:v>
      </x:c>
      <x:c r="AH27" s="16" t="n">
        <x:f>AE27-AF27</x:f>
        <x:v>699.0451364466212</x:v>
      </x:c>
      <x:c r="AI27" s="16" t="n">
        <x:f>AH27*745.6998716/(G27*4.4482216153)</x:f>
        <x:v>12.682676047149052</x:v>
      </x:c>
      <x:c r="AJ27" s="16" t="n">
        <x:f>AI27*196.8503937</x:f>
        <x:v>2496.589773050851</x:v>
      </x:c>
      <x:c r="AK27" s="16" t="n">
        <x:f>AH27*745.6998716/(G27*0.45359237*C27*0.44704)</x:f>
        <x:v>2.1401382952975934</x:v>
      </x:c>
      <x:c r="AL27" s="16" t="n">
        <x:f>SQRT(2*G27*4.4482216153/(1.225*L27*'Assumptions'!$C$11))/0.44704</x:f>
        <x:v>98.46385799361909</x:v>
      </x:c>
      <x:c r="AM27" s="16" t="n">
        <x:f>MIN('Assumptions'!$C$12,'Assumptions'!$C$11*K27*L27/(G27*4.4482216153))</x:f>
        <x:v>0.9038184107281493</x:v>
      </x:c>
      <x:c r="AN27" s="16" t="n">
        <x:f>IF(AE27*745.6998716/(C27*0.44704)-(V27+X27)*4.4482216153&lt;W27*4.4482216153,"n.a.",MIN(AM27,SQRT((AE27*745.6998716/(C27*0.44704)-(V27+X27)*4.4482216153)/(W27*4.4482216153))))</x:f>
        <x:v>0.9038184107281493</x:v>
      </x:c>
      <x:c r="AO27" s="16" t="str">
        <x:f>IF(AM27&gt;1,9.80665*SQRT(AM27^2-1)/(C27*0.44704)*180/PI(),"n.a.")</x:f>
        <x:v>n.a.</x:v>
      </x:c>
      <x:c r="AP27" s="16" t="str">
        <x:f>IF(ISNUMBER(AN27),IF(AN27&gt;1,9.80665*SQRT(AN27^2-1)/(C27*0.44704)*180/PI(),"n.a."),"n.a.")</x:f>
        <x:v>n.a.</x:v>
      </x:c>
      <x:c r="AQ27" s="16" t="str">
        <x:f>IF(AM27&gt;1,(C27*0.44704)^2/(9.80665*SQRT(AM27^2-1)),"n.a.")</x:f>
        <x:v>n.a.</x:v>
      </x:c>
      <x:c r="AR27" s="16" t="str">
        <x:f>IF(ISNUMBER(AN27),IF(AN27&gt;1,(C27*0.44704)^2/(9.80665*SQRT(AN27^2-1)),"n.a."),"n.a.")</x:f>
        <x:v>n.a.</x:v>
      </x:c>
      <x:c r="AS27" s="6" t="str">
        <x:f>IF(I27&gt;=AL27,"Within modeled CLmax","Below modeled stall")</x:f>
        <x:v>Below modeled stall</x:v>
      </x:c>
      <x:c r="AT27" s="6" t="str">
        <x:v>D: aero and eta estimated</x:v>
      </x:c>
      <x:c r="AU27" s="6" t="str">
        <x:v>Fixed BHP node snapshot; no source-backed 6G/CLmax/eta map</x:v>
      </x:c>
    </x:row>
    <x:row r="28">
      <x:c r="B28" s="10" t="n">
        <x:v>20800</x:v>
      </x:c>
      <x:c r="C28" s="10" t="n">
        <x:v>160</x:v>
      </x:c>
      <x:c r="D28" s="6" t="str">
        <x:v>67inHg</x:v>
      </x:c>
      <x:c r="E28" s="6" t="str">
        <x:v>high</x:v>
      </x:c>
      <x:c r="F28" s="6" t="n">
        <x:v>1390</x:v>
      </x:c>
      <x:c r="G28" s="6" t="n">
        <x:f>'Assumptions'!$C$5</x:f>
        <x:v>9240</x:v>
      </x:c>
      <x:c r="H28" s="11" t="n">
        <x:f>(101325*((288.15-0.0065*B28*0.3048)/288.15)^5.2558797)/(287.05287*(288.15-0.0065*B28*0.3048))</x:f>
        <x:v>0.6351616440492905</x:v>
      </x:c>
      <x:c r="I28" s="11" t="n">
        <x:f>C28*SQRT(H28/1.225)</x:f>
        <x:v>115.2110329455344</x:v>
      </x:c>
      <x:c r="J28" s="11" t="n">
        <x:f>C28*0.44704/SQRT(1.4*287.05287*(288.15-0.0065*B28*0.3048))</x:f>
        <x:v>0.22705170428840415</x:v>
      </x:c>
      <x:c r="K28" s="12" t="n">
        <x:f>0.5*H28*(C28*0.44704)^2</x:f>
        <x:v>1624.7517098559297</x:v>
      </x:c>
      <x:c r="L28" s="11" t="n">
        <x:f>'Assumptions'!$C$6*0.09290304</x:f>
        <x:v>21.646408320000003</x:v>
      </x:c>
      <x:c r="M28" s="11" t="n">
        <x:f>('Assumptions'!$C$7*0.3048)^2/L28</x:f>
        <x:v>5.875536480686696</x:v>
      </x:c>
      <x:c r="N28" s="11" t="n">
        <x:f>1/(PI()*M28*'Assumptions'!$C$9)</x:f>
        <x:v>0.06771932385027686</x:v>
      </x:c>
      <x:c r="O28" s="13" t="n">
        <x:f>G28/'Assumptions'!$C$6</x:f>
        <x:v>39.65665236051502</x:v>
      </x:c>
      <x:c r="P28" s="14" t="n">
        <x:f>F28/G28</x:f>
        <x:v>0.15043290043290045</x:v>
      </x:c>
      <x:c r="Q28" s="15" t="n">
        <x:f>G28*4.4482216153/(K28*L28)</x:f>
        <x:v>1.168652892508625</x:v>
      </x:c>
      <x:c r="R28" s="15" t="n">
        <x:f>'Assumptions'!$C$8+'Assumptions'!$C$13</x:f>
        <x:v>0.016</x:v>
      </x:c>
      <x:c r="S28" s="15" t="n">
        <x:f>N28*Q28^2</x:f>
        <x:v>0.09248763832098696</x:v>
      </x:c>
      <x:c r="T28" s="15" t="n">
        <x:f>'Assumptions'!$C$14</x:f>
        <x:v>0</x:v>
      </x:c>
      <x:c r="U28" s="15" t="n">
        <x:f>SUM(R28:T28)</x:f>
        <x:v>0.10848763832098696</x:v>
      </x:c>
      <x:c r="V28" s="16" t="n">
        <x:f>K28*L28*R28/4.4482216153</x:f>
        <x:v>126.50462848951439</x:v>
      </x:c>
      <x:c r="W28" s="16" t="n">
        <x:f>K28*L28*S28/4.4482216153</x:f>
        <x:v>731.2571453543144</x:v>
      </x:c>
      <x:c r="X28" s="16" t="n">
        <x:f>K28*L28*T28/4.4482216153</x:f>
        <x:v>0</x:v>
      </x:c>
      <x:c r="Y28" s="16" t="n">
        <x:f>SUM(V28:X28)</x:f>
        <x:v>857.7617738438288</x:v>
      </x:c>
      <x:c r="Z28" s="9" t="n">
        <x:f>V28/Y28</x:f>
        <x:v>0.1474822408121755</x:v>
      </x:c>
      <x:c r="AA28" s="9" t="n">
        <x:f>W28/Y28</x:f>
        <x:v>0.8525177591878245</x:v>
      </x:c>
      <x:c r="AB28" s="13" t="n">
        <x:f>G28/Y28</x:f>
        <x:v>10.772221707425157</x:v>
      </x:c>
      <x:c r="AC28" s="11" t="n">
        <x:f>'Assumptions'!$C$10</x:f>
        <x:v>0.8</x:v>
      </x:c>
      <x:c r="AD28" s="16" t="n">
        <x:f>F28</x:f>
        <x:v>1390</x:v>
      </x:c>
      <x:c r="AE28" s="16" t="n">
        <x:f>AD28*AC28</x:f>
        <x:v>1112</x:v>
      </x:c>
      <x:c r="AF28" s="16" t="n">
        <x:f>Y28*4.4482216153*(C28*0.44704)/745.6998716</x:f>
        <x:v>365.9783568345819</x:v>
      </x:c>
      <x:c r="AG28" s="16" t="n">
        <x:f>AF28/AC28</x:f>
        <x:v>457.47294604322735</x:v>
      </x:c>
      <x:c r="AH28" s="16" t="n">
        <x:f>AE28-AF28</x:f>
        <x:v>746.021643165418</x:v>
      </x:c>
      <x:c r="AI28" s="16" t="n">
        <x:f>AH28*745.6998716/(G28*4.4482216153)</x:f>
        <x:v>13.534964097631345</x:v>
      </x:c>
      <x:c r="AJ28" s="16" t="n">
        <x:f>AI28*196.8503937</x:f>
        <x:v>2664.3630113340955</x:v>
      </x:c>
      <x:c r="AK28" s="16" t="n">
        <x:f>AH28*745.6998716/(G28*0.45359237*C28*0.44704)</x:f>
        <x:v>1.8557155912951735</x:v>
      </x:c>
      <x:c r="AL28" s="16" t="n">
        <x:f>SQRT(2*G28*4.4482216153/(1.225*L28*'Assumptions'!$C$11))/0.44704</x:f>
        <x:v>98.46385799361909</x:v>
      </x:c>
      <x:c r="AM28" s="16" t="n">
        <x:f>MIN('Assumptions'!$C$12,'Assumptions'!$C$11*K28*L28/(G28*4.4482216153))</x:f>
        <x:v>1.3690977109254803</x:v>
      </x:c>
      <x:c r="AN28" s="16" t="n">
        <x:f>IF(AE28*745.6998716/(C28*0.44704)-(V28+X28)*4.4482216153&lt;W28*4.4482216153,"n.a.",MIN(AM28,SQRT((AE28*745.6998716/(C28*0.44704)-(V28+X28)*4.4482216153)/(W28*4.4482216153))))</x:f>
        <x:v>1.3690977109254803</x:v>
      </x:c>
      <x:c r="AO28" s="16" t="n">
        <x:f>IF(AM28&gt;1,9.80665*SQRT(AM28^2-1)/(C28*0.44704)*180/PI(),"n.a.")</x:f>
        <x:v>7.345800058685132</x:v>
      </x:c>
      <x:c r="AP28" s="16" t="n">
        <x:f>IF(ISNUMBER(AN28),IF(AN28&gt;1,9.80665*SQRT(AN28^2-1)/(C28*0.44704)*180/PI(),"n.a."),"n.a.")</x:f>
        <x:v>7.345800058685132</x:v>
      </x:c>
      <x:c r="AQ28" s="16" t="n">
        <x:f>IF(AM28&gt;1,(C28*0.44704)^2/(9.80665*SQRT(AM28^2-1)),"n.a.")</x:f>
        <x:v>557.8916947132489</x:v>
      </x:c>
      <x:c r="AR28" s="16" t="n">
        <x:f>IF(ISNUMBER(AN28),IF(AN28&gt;1,(C28*0.44704)^2/(9.80665*SQRT(AN28^2-1)),"n.a."),"n.a.")</x:f>
        <x:v>557.8916947132489</x:v>
      </x:c>
      <x:c r="AS28" s="6" t="str">
        <x:f>IF(I28&gt;=AL28,"Within modeled CLmax","Below modeled stall")</x:f>
        <x:v>Within modeled CLmax</x:v>
      </x:c>
      <x:c r="AT28" s="6" t="str">
        <x:v>D: aero and eta estimated</x:v>
      </x:c>
      <x:c r="AU28" s="6" t="str">
        <x:v>Fixed BHP node snapshot; no source-backed 6G/CLmax/eta map</x:v>
      </x:c>
    </x:row>
    <x:row r="29">
      <x:c r="B29" s="10" t="n">
        <x:v>20800</x:v>
      </x:c>
      <x:c r="C29" s="10" t="n">
        <x:v>190</x:v>
      </x:c>
      <x:c r="D29" s="6" t="str">
        <x:v>67inHg</x:v>
      </x:c>
      <x:c r="E29" s="6" t="str">
        <x:v>high</x:v>
      </x:c>
      <x:c r="F29" s="6" t="n">
        <x:v>1390</x:v>
      </x:c>
      <x:c r="G29" s="6" t="n">
        <x:f>'Assumptions'!$C$5</x:f>
        <x:v>9240</x:v>
      </x:c>
      <x:c r="H29" s="11" t="n">
        <x:f>(101325*((288.15-0.0065*B29*0.3048)/288.15)^5.2558797)/(287.05287*(288.15-0.0065*B29*0.3048))</x:f>
        <x:v>0.6351616440492905</x:v>
      </x:c>
      <x:c r="I29" s="11" t="n">
        <x:f>C29*SQRT(H29/1.225)</x:f>
        <x:v>136.8131016228221</x:v>
      </x:c>
      <x:c r="J29" s="11" t="n">
        <x:f>C29*0.44704/SQRT(1.4*287.05287*(288.15-0.0065*B29*0.3048))</x:f>
        <x:v>0.26962389884247995</x:v>
      </x:c>
      <x:c r="K29" s="12" t="n">
        <x:f>0.5*H29*(C29*0.44704)^2</x:f>
        <x:v>2291.1537783515264</x:v>
      </x:c>
      <x:c r="L29" s="11" t="n">
        <x:f>'Assumptions'!$C$6*0.09290304</x:f>
        <x:v>21.646408320000003</x:v>
      </x:c>
      <x:c r="M29" s="11" t="n">
        <x:f>('Assumptions'!$C$7*0.3048)^2/L29</x:f>
        <x:v>5.875536480686696</x:v>
      </x:c>
      <x:c r="N29" s="11" t="n">
        <x:f>1/(PI()*M29*'Assumptions'!$C$9)</x:f>
        <x:v>0.06771932385027686</x:v>
      </x:c>
      <x:c r="O29" s="13" t="n">
        <x:f>G29/'Assumptions'!$C$6</x:f>
        <x:v>39.65665236051502</x:v>
      </x:c>
      <x:c r="P29" s="14" t="n">
        <x:f>F29/G29</x:f>
        <x:v>0.15043290043290045</x:v>
      </x:c>
      <x:c r="Q29" s="15" t="n">
        <x:f>G29*4.4482216153/(K29*L29)</x:f>
        <x:v>0.8287400013357561</x:v>
      </x:c>
      <x:c r="R29" s="15" t="n">
        <x:f>'Assumptions'!$C$8+'Assumptions'!$C$13</x:f>
        <x:v>0.016</x:v>
      </x:c>
      <x:c r="S29" s="15" t="n">
        <x:f>N29*Q29^2</x:f>
        <x:v>0.04651030812381887</x:v>
      </x:c>
      <x:c r="T29" s="15" t="n">
        <x:f>'Assumptions'!$C$14</x:f>
        <x:v>0</x:v>
      </x:c>
      <x:c r="U29" s="15" t="n">
        <x:f>SUM(R29:T29)</x:f>
        <x:v>0.06251030812381887</x:v>
      </x:c>
      <x:c r="V29" s="16" t="n">
        <x:f>K29*L29*R29/4.4482216153</x:f>
        <x:v>178.3912925184168</x:v>
      </x:c>
      <x:c r="W29" s="16" t="n">
        <x:f>K29*L29*S29/4.4482216153</x:f>
        <x:v>518.5646238523669</x:v>
      </x:c>
      <x:c r="X29" s="16" t="n">
        <x:f>K29*L29*T29/4.4482216153</x:f>
        <x:v>0</x:v>
      </x:c>
      <x:c r="Y29" s="16" t="n">
        <x:f>SUM(V29:X29)</x:f>
        <x:v>696.9559163707837</x:v>
      </x:c>
      <x:c r="Z29" s="9" t="n">
        <x:f>V29/Y29</x:f>
        <x:v>0.25595778488737564</x:v>
      </x:c>
      <x:c r="AA29" s="9" t="n">
        <x:f>W29/Y29</x:f>
        <x:v>0.7440422151126245</x:v>
      </x:c>
      <x:c r="AB29" s="13" t="n">
        <x:f>G29/Y29</x:f>
        <x:v>13.257653436841302</x:v>
      </x:c>
      <x:c r="AC29" s="11" t="n">
        <x:f>'Assumptions'!$C$10</x:f>
        <x:v>0.8</x:v>
      </x:c>
      <x:c r="AD29" s="16" t="n">
        <x:f>F29</x:f>
        <x:v>1390</x:v>
      </x:c>
      <x:c r="AE29" s="16" t="n">
        <x:f>AD29*AC29</x:f>
        <x:v>1112</x:v>
      </x:c>
      <x:c r="AF29" s="16" t="n">
        <x:f>Y29*4.4482216153*(C29*0.44704)/745.6998716</x:f>
        <x:v>353.12433095593684</x:v>
      </x:c>
      <x:c r="AG29" s="16" t="n">
        <x:f>AF29/AC29</x:f>
        <x:v>441.40541369492104</x:v>
      </x:c>
      <x:c r="AH29" s="16" t="n">
        <x:f>AE29-AF29</x:f>
        <x:v>758.8756690440632</x:v>
      </x:c>
      <x:c r="AI29" s="16" t="n">
        <x:f>AH29*745.6998716/(G29*4.4482216153)</x:f>
        <x:v>13.768172852861667</x:v>
      </x:c>
      <x:c r="AJ29" s="16" t="n">
        <x:f>AI29*196.8503937</x:f>
        <x:v>2710.2702466154715</x:v>
      </x:c>
      <x:c r="AK29" s="16" t="n">
        <x:f>AH29*745.6998716/(G29*0.45359237*C29*0.44704)</x:f>
        <x:v>1.58963347573648</x:v>
      </x:c>
      <x:c r="AL29" s="16" t="n">
        <x:f>SQRT(2*G29*4.4482216153/(1.225*L29*'Assumptions'!$C$11))/0.44704</x:f>
        <x:v>98.46385799361909</x:v>
      </x:c>
      <x:c r="AM29" s="16" t="n">
        <x:f>MIN('Assumptions'!$C$12,'Assumptions'!$C$11*K29*L29/(G29*4.4482216153))</x:f>
        <x:v>1.93064169392226</x:v>
      </x:c>
      <x:c r="AN29" s="16" t="n">
        <x:f>IF(AE29*745.6998716/(C29*0.44704)-(V29+X29)*4.4482216153&lt;W29*4.4482216153,"n.a.",MIN(AM29,SQRT((AE29*745.6998716/(C29*0.44704)-(V29+X29)*4.4482216153)/(W29*4.4482216153))))</x:f>
        <x:v>1.93064169392226</x:v>
      </x:c>
      <x:c r="AO29" s="16" t="n">
        <x:f>IF(AM29&gt;1,9.80665*SQRT(AM29^2-1)/(C29*0.44704)*180/PI(),"n.a.")</x:f>
        <x:v>10.924861436330545</x:v>
      </x:c>
      <x:c r="AP29" s="16" t="n">
        <x:f>IF(ISNUMBER(AN29),IF(AN29&gt;1,9.80665*SQRT(AN29^2-1)/(C29*0.44704)*180/PI(),"n.a."),"n.a.")</x:f>
        <x:v>10.924861436330545</x:v>
      </x:c>
      <x:c r="AQ29" s="16" t="n">
        <x:f>IF(AM29&gt;1,(C29*0.44704)^2/(9.80665*SQRT(AM29^2-1)),"n.a.")</x:f>
        <x:v>445.45791544656606</x:v>
      </x:c>
      <x:c r="AR29" s="16" t="n">
        <x:f>IF(ISNUMBER(AN29),IF(AN29&gt;1,(C29*0.44704)^2/(9.80665*SQRT(AN29^2-1)),"n.a."),"n.a.")</x:f>
        <x:v>445.45791544656606</x:v>
      </x:c>
      <x:c r="AS29" s="6" t="str">
        <x:f>IF(I29&gt;=AL29,"Within modeled CLmax","Below modeled stall")</x:f>
        <x:v>Within modeled CLmax</x:v>
      </x:c>
      <x:c r="AT29" s="6" t="str">
        <x:v>D: aero and eta estimated</x:v>
      </x:c>
      <x:c r="AU29" s="6" t="str">
        <x:v>Fixed BHP node snapshot; no source-backed 6G/CLmax/eta map</x:v>
      </x:c>
    </x:row>
    <x:row r="30">
      <x:c r="B30" s="10" t="n">
        <x:v>20800</x:v>
      </x:c>
      <x:c r="C30" s="10" t="n">
        <x:v>220</x:v>
      </x:c>
      <x:c r="D30" s="6" t="str">
        <x:v>67inHg</x:v>
      </x:c>
      <x:c r="E30" s="6" t="str">
        <x:v>high</x:v>
      </x:c>
      <x:c r="F30" s="6" t="n">
        <x:v>1390</x:v>
      </x:c>
      <x:c r="G30" s="6" t="n">
        <x:f>'Assumptions'!$C$5</x:f>
        <x:v>9240</x:v>
      </x:c>
      <x:c r="H30" s="11" t="n">
        <x:f>(101325*((288.15-0.0065*B30*0.3048)/288.15)^5.2558797)/(287.05287*(288.15-0.0065*B30*0.3048))</x:f>
        <x:v>0.6351616440492905</x:v>
      </x:c>
      <x:c r="I30" s="11" t="n">
        <x:f>C30*SQRT(H30/1.225)</x:f>
        <x:v>158.4151703001098</x:v>
      </x:c>
      <x:c r="J30" s="11" t="n">
        <x:f>C30*0.44704/SQRT(1.4*287.05287*(288.15-0.0065*B30*0.3048))</x:f>
        <x:v>0.31219609339655574</x:v>
      </x:c>
      <x:c r="K30" s="12" t="n">
        <x:f>0.5*H30*(C30*0.44704)^2</x:f>
        <x:v>3071.7962014463674</x:v>
      </x:c>
      <x:c r="L30" s="11" t="n">
        <x:f>'Assumptions'!$C$6*0.09290304</x:f>
        <x:v>21.646408320000003</x:v>
      </x:c>
      <x:c r="M30" s="11" t="n">
        <x:f>('Assumptions'!$C$7*0.3048)^2/L30</x:f>
        <x:v>5.875536480686696</x:v>
      </x:c>
      <x:c r="N30" s="11" t="n">
        <x:f>1/(PI()*M30*'Assumptions'!$C$9)</x:f>
        <x:v>0.06771932385027686</x:v>
      </x:c>
      <x:c r="O30" s="13" t="n">
        <x:f>G30/'Assumptions'!$C$6</x:f>
        <x:v>39.65665236051502</x:v>
      </x:c>
      <x:c r="P30" s="14" t="n">
        <x:f>F30/G30</x:f>
        <x:v>0.15043290043290045</x:v>
      </x:c>
      <x:c r="Q30" s="15" t="n">
        <x:f>G30*4.4482216153/(K30*L30)</x:f>
        <x:v>0.618130455541752</x:v>
      </x:c>
      <x:c r="R30" s="15" t="n">
        <x:f>'Assumptions'!$C$8+'Assumptions'!$C$13</x:f>
        <x:v>0.016</x:v>
      </x:c>
      <x:c r="S30" s="15" t="n">
        <x:f>N30*Q30^2</x:f>
        <x:v>0.025874555464979347</x:v>
      </x:c>
      <x:c r="T30" s="15" t="n">
        <x:f>'Assumptions'!$C$14</x:f>
        <x:v>0</x:v>
      </x:c>
      <x:c r="U30" s="15" t="n">
        <x:f>SUM(R30:T30)</x:f>
        <x:v>0.04187455546497935</x:v>
      </x:c>
      <x:c r="V30" s="16" t="n">
        <x:f>K30*L30*R30/4.4482216153</x:f>
        <x:v>239.17281323798818</x:v>
      </x:c>
      <x:c r="W30" s="16" t="n">
        <x:f>K30*L30*S30/4.4482216153</x:f>
        <x:v>386.78063886509193</x:v>
      </x:c>
      <x:c r="X30" s="16" t="n">
        <x:f>K30*L30*T30/4.4482216153</x:f>
        <x:v>0</x:v>
      </x:c>
      <x:c r="Y30" s="16" t="n">
        <x:f>SUM(V30:X30)</x:f>
        <x:v>625.95345210308</x:v>
      </x:c>
      <x:c r="Z30" s="9" t="n">
        <x:f>V30/Y30</x:f>
        <x:v>0.3820936084534956</x:v>
      </x:c>
      <x:c r="AA30" s="9" t="n">
        <x:f>W30/Y30</x:f>
        <x:v>0.6179063915465045</x:v>
      </x:c>
      <x:c r="AB30" s="13" t="n">
        <x:f>G30/Y30</x:f>
        <x:v>14.76148101580944</x:v>
      </x:c>
      <x:c r="AC30" s="11" t="n">
        <x:f>'Assumptions'!$C$10</x:f>
        <x:v>0.8</x:v>
      </x:c>
      <x:c r="AD30" s="16" t="n">
        <x:f>F30</x:f>
        <x:v>1390</x:v>
      </x:c>
      <x:c r="AE30" s="16" t="n">
        <x:f>AD30*AC30</x:f>
        <x:v>1112</x:v>
      </x:c>
      <x:c r="AF30" s="16" t="n">
        <x:f>Y30*4.4482216153*(C30*0.44704)/745.6998716</x:f>
        <x:v>367.22602522833665</x:v>
      </x:c>
      <x:c r="AG30" s="16" t="n">
        <x:f>AF30/AC30</x:f>
        <x:v>459.0325315354208</x:v>
      </x:c>
      <x:c r="AH30" s="16" t="n">
        <x:f>AE30-AF30</x:f>
        <x:v>744.7739747716633</x:v>
      </x:c>
      <x:c r="AI30" s="16" t="n">
        <x:f>AH30*745.6998716/(G30*4.4482216153)</x:f>
        <x:v>13.512327828201459</x:v>
      </x:c>
      <x:c r="AJ30" s="16" t="n">
        <x:f>AI30*196.8503937</x:f>
        <x:v>2659.907052784923</x:v>
      </x:c>
      <x:c r="AK30" s="16" t="n">
        <x:f>AH30*745.6998716/(G30*0.45359237*C30*0.44704)</x:f>
        <x:v>1.3473542096864275</x:v>
      </x:c>
      <x:c r="AL30" s="16" t="n">
        <x:f>SQRT(2*G30*4.4482216153/(1.225*L30*'Assumptions'!$C$11))/0.44704</x:f>
        <x:v>98.46385799361909</x:v>
      </x:c>
      <x:c r="AM30" s="16" t="n">
        <x:f>MIN('Assumptions'!$C$12,'Assumptions'!$C$11*K30*L30/(G30*4.4482216153))</x:f>
        <x:v>2.588450359718487</x:v>
      </x:c>
      <x:c r="AN30" s="16" t="n">
        <x:f>IF(AE30*745.6998716/(C30*0.44704)-(V30+X30)*4.4482216153&lt;W30*4.4482216153,"n.a.",MIN(AM30,SQRT((AE30*745.6998716/(C30*0.44704)-(V30+X30)*4.4482216153)/(W30*4.4482216153))))</x:f>
        <x:v>2.069353770719269</x:v>
      </x:c>
      <x:c r="AO30" s="16" t="n">
        <x:f>IF(AM30&gt;1,9.80665*SQRT(AM30^2-1)/(C30*0.44704)*180/PI(),"n.a.")</x:f>
        <x:v>13.640005261112087</x:v>
      </x:c>
      <x:c r="AP30" s="16" t="n">
        <x:f>IF(ISNUMBER(AN30),IF(AN30&gt;1,9.80665*SQRT(AN30^2-1)/(C30*0.44704)*180/PI(),"n.a."),"n.a.")</x:f>
        <x:v>10.350430633474206</x:v>
      </x:c>
      <x:c r="AQ30" s="16" t="n">
        <x:f>IF(AM30&gt;1,(C30*0.44704)^2/(9.80665*SQRT(AM30^2-1)),"n.a.")</x:f>
        <x:v>413.1208934531455</x:v>
      </x:c>
      <x:c r="AR30" s="16" t="n">
        <x:f>IF(ISNUMBER(AN30),IF(AN30&gt;1,(C30*0.44704)^2/(9.80665*SQRT(AN30^2-1)),"n.a."),"n.a.")</x:f>
        <x:v>544.4190062925727</x:v>
      </x:c>
      <x:c r="AS30" s="6" t="str">
        <x:f>IF(I30&gt;=AL30,"Within modeled CLmax","Below modeled stall")</x:f>
        <x:v>Within modeled CLmax</x:v>
      </x:c>
      <x:c r="AT30" s="6" t="str">
        <x:v>D: aero and eta estimated</x:v>
      </x:c>
      <x:c r="AU30" s="6" t="str">
        <x:v>Fixed BHP node snapshot; no source-backed 6G/CLmax/eta map</x:v>
      </x:c>
    </x:row>
    <x:row r="31">
      <x:c r="B31" s="10" t="n">
        <x:v>20800</x:v>
      </x:c>
      <x:c r="C31" s="10" t="n">
        <x:v>250</x:v>
      </x:c>
      <x:c r="D31" s="6" t="str">
        <x:v>67inHg</x:v>
      </x:c>
      <x:c r="E31" s="6" t="str">
        <x:v>high</x:v>
      </x:c>
      <x:c r="F31" s="6" t="n">
        <x:v>1390</x:v>
      </x:c>
      <x:c r="G31" s="6" t="n">
        <x:f>'Assumptions'!$C$5</x:f>
        <x:v>9240</x:v>
      </x:c>
      <x:c r="H31" s="11" t="n">
        <x:f>(101325*((288.15-0.0065*B31*0.3048)/288.15)^5.2558797)/(287.05287*(288.15-0.0065*B31*0.3048))</x:f>
        <x:v>0.6351616440492905</x:v>
      </x:c>
      <x:c r="I31" s="11" t="n">
        <x:f>C31*SQRT(H31/1.225)</x:f>
        <x:v>180.01723897739748</x:v>
      </x:c>
      <x:c r="J31" s="11" t="n">
        <x:f>C31*0.44704/SQRT(1.4*287.05287*(288.15-0.0065*B31*0.3048))</x:f>
        <x:v>0.35476828795063153</x:v>
      </x:c>
      <x:c r="K31" s="12" t="n">
        <x:f>0.5*H31*(C31*0.44704)^2</x:f>
        <x:v>3966.6789791404544</x:v>
      </x:c>
      <x:c r="L31" s="11" t="n">
        <x:f>'Assumptions'!$C$6*0.09290304</x:f>
        <x:v>21.646408320000003</x:v>
      </x:c>
      <x:c r="M31" s="11" t="n">
        <x:f>('Assumptions'!$C$7*0.3048)^2/L31</x:f>
        <x:v>5.875536480686696</x:v>
      </x:c>
      <x:c r="N31" s="11" t="n">
        <x:f>1/(PI()*M31*'Assumptions'!$C$9)</x:f>
        <x:v>0.06771932385027686</x:v>
      </x:c>
      <x:c r="O31" s="13" t="n">
        <x:f>G31/'Assumptions'!$C$6</x:f>
        <x:v>39.65665236051502</x:v>
      </x:c>
      <x:c r="P31" s="14" t="n">
        <x:f>F31/G31</x:f>
        <x:v>0.15043290043290045</x:v>
      </x:c>
      <x:c r="Q31" s="15" t="n">
        <x:f>G31*4.4482216153/(K31*L31)</x:f>
        <x:v>0.4786802247715327</x:v>
      </x:c>
      <x:c r="R31" s="15" t="n">
        <x:f>'Assumptions'!$C$8+'Assumptions'!$C$13</x:f>
        <x:v>0.016</x:v>
      </x:c>
      <x:c r="S31" s="15" t="n">
        <x:f>N31*Q31^2</x:f>
        <x:v>0.01551685085441075</x:v>
      </x:c>
      <x:c r="T31" s="15" t="n">
        <x:f>'Assumptions'!$C$14</x:f>
        <x:v>0</x:v>
      </x:c>
      <x:c r="U31" s="15" t="n">
        <x:f>SUM(R31:T31)</x:f>
        <x:v>0.03151685085441075</x:v>
      </x:c>
      <x:c r="V31" s="16" t="n">
        <x:f>K31*L31*R31/4.4482216153</x:f>
        <x:v>308.84919064822856</x:v>
      </x:c>
      <x:c r="W31" s="16" t="n">
        <x:f>K31*L31*S31/4.4482216153</x:f>
        <x:v>299.5229267371271</x:v>
      </x:c>
      <x:c r="X31" s="16" t="n">
        <x:f>K31*L31*T31/4.4482216153</x:f>
        <x:v>0</x:v>
      </x:c>
      <x:c r="Y31" s="16" t="n">
        <x:f>SUM(V31:X31)</x:f>
        <x:v>608.3721173853556</x:v>
      </x:c>
      <x:c r="Z31" s="9" t="n">
        <x:f>V31/Y31</x:f>
        <x:v>0.5076649337178565</x:v>
      </x:c>
      <x:c r="AA31" s="9" t="n">
        <x:f>W31/Y31</x:f>
        <x:v>0.4923350662821435</x:v>
      </x:c>
      <x:c r="AB31" s="13" t="n">
        <x:f>G31/Y31</x:f>
        <x:v>15.188072786293048</x:v>
      </x:c>
      <x:c r="AC31" s="11" t="n">
        <x:f>'Assumptions'!$C$10</x:f>
        <x:v>0.8</x:v>
      </x:c>
      <x:c r="AD31" s="16" t="n">
        <x:f>F31</x:f>
        <x:v>1390</x:v>
      </x:c>
      <x:c r="AE31" s="16" t="n">
        <x:f>AD31*AC31</x:f>
        <x:v>1112</x:v>
      </x:c>
      <x:c r="AF31" s="16" t="n">
        <x:f>Y31*4.4482216153*(C31*0.44704)/745.6998716</x:f>
        <x:v>405.58141158419545</x:v>
      </x:c>
      <x:c r="AG31" s="16" t="n">
        <x:f>AF31/AC31</x:f>
        <x:v>506.9767644802443</x:v>
      </x:c>
      <x:c r="AH31" s="16" t="n">
        <x:f>AE31-AF31</x:f>
        <x:v>706.4185884158046</x:v>
      </x:c>
      <x:c r="AI31" s="16" t="n">
        <x:f>AH31*745.6998716/(G31*4.4482216153)</x:f>
        <x:v>12.816451532877657</x:v>
      </x:c>
      <x:c r="AJ31" s="16" t="n">
        <x:f>AI31*196.8503937</x:f>
        <x:v>2522.9235300839355</x:v>
      </x:c>
      <x:c r="AK31" s="16" t="n">
        <x:f>AH31*745.6998716/(G31*0.45359237*C31*0.44704)</x:f>
        <x:v>1.1246103653007404</x:v>
      </x:c>
      <x:c r="AL31" s="16" t="n">
        <x:f>SQRT(2*G31*4.4482216153/(1.225*L31*'Assumptions'!$C$11))/0.44704</x:f>
        <x:v>98.46385799361909</x:v>
      </x:c>
      <x:c r="AM31" s="16" t="n">
        <x:f>MIN('Assumptions'!$C$12,'Assumptions'!$C$11*K31*L31/(G31*4.4482216153))</x:f>
        <x:v>3.342523708314162</x:v>
      </x:c>
      <x:c r="AN31" s="16" t="n">
        <x:f>IF(AE31*745.6998716/(C31*0.44704)-(V31+X31)*4.4482216153&lt;W31*4.4482216153,"n.a.",MIN(AM31,SQRT((AE31*745.6998716/(C31*0.44704)-(V31+X31)*4.4482216153)/(W31*4.4482216153))))</x:f>
        <x:v>2.130192192956999</x:v>
      </x:c>
      <x:c r="AO31" s="16" t="n">
        <x:f>IF(AM31&gt;1,9.80665*SQRT(AM31^2-1)/(C31*0.44704)*180/PI(),"n.a.")</x:f>
        <x:v>16.03503866521088</x:v>
      </x:c>
      <x:c r="AP31" s="16" t="n">
        <x:f>IF(ISNUMBER(AN31),IF(AN31&gt;1,9.80665*SQRT(AN31^2-1)/(C31*0.44704)*180/PI(),"n.a."),"n.a.")</x:f>
        <x:v>9.456241790686239</x:v>
      </x:c>
      <x:c r="AQ31" s="16" t="n">
        <x:f>IF(AM31&gt;1,(C31*0.44704)^2/(9.80665*SQRT(AM31^2-1)),"n.a.")</x:f>
        <x:v>399.33650626453726</x:v>
      </x:c>
      <x:c r="AR31" s="16" t="n">
        <x:f>IF(ISNUMBER(AN31),IF(AN31&gt;1,(C31*0.44704)^2/(9.80665*SQRT(AN31^2-1)),"n.a."),"n.a.")</x:f>
        <x:v>677.1586915944741</x:v>
      </x:c>
      <x:c r="AS31" s="6" t="str">
        <x:f>IF(I31&gt;=AL31,"Within modeled CLmax","Below modeled stall")</x:f>
        <x:v>Within modeled CLmax</x:v>
      </x:c>
      <x:c r="AT31" s="6" t="str">
        <x:v>D: aero and eta estimated</x:v>
      </x:c>
      <x:c r="AU31" s="6" t="str">
        <x:v>Fixed BHP node snapshot; no source-backed 6G/CLmax/eta map</x:v>
      </x:c>
    </x:row>
    <x:row r="32">
      <x:c r="B32" s="10" t="n">
        <x:v>20800</x:v>
      </x:c>
      <x:c r="C32" s="10" t="n">
        <x:v>280</x:v>
      </x:c>
      <x:c r="D32" s="6" t="str">
        <x:v>67inHg</x:v>
      </x:c>
      <x:c r="E32" s="6" t="str">
        <x:v>high</x:v>
      </x:c>
      <x:c r="F32" s="6" t="n">
        <x:v>1390</x:v>
      </x:c>
      <x:c r="G32" s="6" t="n">
        <x:f>'Assumptions'!$C$5</x:f>
        <x:v>9240</x:v>
      </x:c>
      <x:c r="H32" s="11" t="n">
        <x:f>(101325*((288.15-0.0065*B32*0.3048)/288.15)^5.2558797)/(287.05287*(288.15-0.0065*B32*0.3048))</x:f>
        <x:v>0.6351616440492905</x:v>
      </x:c>
      <x:c r="I32" s="11" t="n">
        <x:f>C32*SQRT(H32/1.225)</x:f>
        <x:v>201.6193076546852</x:v>
      </x:c>
      <x:c r="J32" s="11" t="n">
        <x:f>C32*0.44704/SQRT(1.4*287.05287*(288.15-0.0065*B32*0.3048))</x:f>
        <x:v>0.39734048250470727</x:v>
      </x:c>
      <x:c r="K32" s="12" t="n">
        <x:f>0.5*H32*(C32*0.44704)^2</x:f>
        <x:v>4975.802111433785</x:v>
      </x:c>
      <x:c r="L32" s="11" t="n">
        <x:f>'Assumptions'!$C$6*0.09290304</x:f>
        <x:v>21.646408320000003</x:v>
      </x:c>
      <x:c r="M32" s="11" t="n">
        <x:f>('Assumptions'!$C$7*0.3048)^2/L32</x:f>
        <x:v>5.875536480686696</x:v>
      </x:c>
      <x:c r="N32" s="11" t="n">
        <x:f>1/(PI()*M32*'Assumptions'!$C$9)</x:f>
        <x:v>0.06771932385027686</x:v>
      </x:c>
      <x:c r="O32" s="13" t="n">
        <x:f>G32/'Assumptions'!$C$6</x:f>
        <x:v>39.65665236051502</x:v>
      </x:c>
      <x:c r="P32" s="14" t="n">
        <x:f>F32/G32</x:f>
        <x:v>0.15043290043290045</x:v>
      </x:c>
      <x:c r="Q32" s="15" t="n">
        <x:f>G32*4.4482216153/(K32*L32)</x:f>
        <x:v>0.3816009444926122</x:v>
      </x:c>
      <x:c r="R32" s="15" t="n">
        <x:f>'Assumptions'!$C$8+'Assumptions'!$C$13</x:f>
        <x:v>0.016</x:v>
      </x:c>
      <x:c r="S32" s="15" t="n">
        <x:f>N32*Q32^2</x:f>
        <x:v>0.009861239237889487</x:v>
      </x:c>
      <x:c r="T32" s="15" t="n">
        <x:f>'Assumptions'!$C$14</x:f>
        <x:v>0</x:v>
      </x:c>
      <x:c r="U32" s="15" t="n">
        <x:f>SUM(R32:T32)</x:f>
        <x:v>0.025861239237889487</x:v>
      </x:c>
      <x:c r="V32" s="16" t="n">
        <x:f>K32*L32*R32/4.4482216153</x:f>
        <x:v>387.42042474913785</x:v>
      </x:c>
      <x:c r="W32" s="16" t="n">
        <x:f>K32*L32*S32/4.4482216153</x:f>
        <x:v>238.7778433810006</x:v>
      </x:c>
      <x:c r="X32" s="16" t="n">
        <x:f>K32*L32*T32/4.4482216153</x:f>
        <x:v>0</x:v>
      </x:c>
      <x:c r="Y32" s="16" t="n">
        <x:f>SUM(V32:X32)</x:f>
        <x:v>626.1982681301384</x:v>
      </x:c>
      <x:c r="Z32" s="9" t="n">
        <x:f>V32/Y32</x:f>
        <x:v>0.6186865158634117</x:v>
      </x:c>
      <x:c r="AA32" s="9" t="n">
        <x:f>W32/Y32</x:f>
        <x:v>0.3813134841365883</x:v>
      </x:c>
      <x:c r="AB32" s="13" t="n">
        <x:f>G32/Y32</x:f>
        <x:v>14.75570992489509</x:v>
      </x:c>
      <x:c r="AC32" s="11" t="n">
        <x:f>'Assumptions'!$C$10</x:f>
        <x:v>0.8</x:v>
      </x:c>
      <x:c r="AD32" s="16" t="n">
        <x:f>F32</x:f>
        <x:v>1390</x:v>
      </x:c>
      <x:c r="AE32" s="16" t="n">
        <x:f>AD32*AC32</x:f>
        <x:v>1112</x:v>
      </x:c>
      <x:c r="AF32" s="16" t="n">
        <x:f>Y32*4.4482216153*(C32*0.44704)/745.6998716</x:f>
        <x:v>467.5613735302051</x:v>
      </x:c>
      <x:c r="AG32" s="16" t="n">
        <x:f>AF32/AC32</x:f>
        <x:v>584.4517169127564</x:v>
      </x:c>
      <x:c r="AH32" s="16" t="n">
        <x:f>AE32-AF32</x:f>
        <x:v>644.4386264697948</x:v>
      </x:c>
      <x:c r="AI32" s="16" t="n">
        <x:f>AH32*745.6998716/(G32*4.4482216153)</x:f>
        <x:v>11.69195793755473</x:v>
      </x:c>
      <x:c r="AJ32" s="16" t="n">
        <x:f>AI32*196.8503937</x:f>
        <x:v>2301.566523131489</x:v>
      </x:c>
      <x:c r="AK32" s="16" t="n">
        <x:f>AH32*745.6998716/(G32*0.45359237*C32*0.44704)</x:f>
        <x:v>0.9160169376768716</x:v>
      </x:c>
      <x:c r="AL32" s="16" t="n">
        <x:f>SQRT(2*G32*4.4482216153/(1.225*L32*'Assumptions'!$C$11))/0.44704</x:f>
        <x:v>98.46385799361909</x:v>
      </x:c>
      <x:c r="AM32" s="16" t="n">
        <x:f>MIN('Assumptions'!$C$12,'Assumptions'!$C$11*K32*L32/(G32*4.4482216153))</x:f>
        <x:v>4.192861739709284</x:v>
      </x:c>
      <x:c r="AN32" s="16" t="n">
        <x:f>IF(AE32*745.6998716/(C32*0.44704)-(V32+X32)*4.4482216153&lt;W32*4.4482216153,"n.a.",MIN(AM32,SQRT((AE32*745.6998716/(C32*0.44704)-(V32+X32)*4.4482216153)/(W32*4.4482216153))))</x:f>
        <x:v>2.1481630319928544</x:v>
      </x:c>
      <x:c r="AO32" s="16" t="n">
        <x:f>IF(AM32&gt;1,9.80665*SQRT(AM32^2-1)/(C32*0.44704)*180/PI(),"n.a.")</x:f>
        <x:v>18.27815384394521</x:v>
      </x:c>
      <x:c r="AP32" s="16" t="n">
        <x:f>IF(ISNUMBER(AN32),IF(AN32&gt;1,9.80665*SQRT(AN32^2-1)/(C32*0.44704)*180/PI(),"n.a."),"n.a.")</x:f>
        <x:v>8.534327003660241</x:v>
      </x:c>
      <x:c r="AQ32" s="16" t="n">
        <x:f>IF(AM32&gt;1,(C32*0.44704)^2/(9.80665*SQRT(AM32^2-1)),"n.a.")</x:f>
        <x:v>392.36902905069064</x:v>
      </x:c>
      <x:c r="AR32" s="16" t="n">
        <x:f>IF(ISNUMBER(AN32),IF(AN32&gt;1,(C32*0.44704)^2/(9.80665*SQRT(AN32^2-1)),"n.a."),"n.a.")</x:f>
        <x:v>840.3452871576239</x:v>
      </x:c>
      <x:c r="AS32" s="6" t="str">
        <x:f>IF(I32&gt;=AL32,"Within modeled CLmax","Below modeled stall")</x:f>
        <x:v>Within modeled CLmax</x:v>
      </x:c>
      <x:c r="AT32" s="6" t="str">
        <x:v>D: aero and eta estimated</x:v>
      </x:c>
      <x:c r="AU32" s="6" t="str">
        <x:v>Fixed BHP node snapshot; no source-backed 6G/CLmax/eta map</x:v>
      </x:c>
    </x:row>
    <x:row r="33">
      <x:c r="B33" s="10" t="n">
        <x:v>20800</x:v>
      </x:c>
      <x:c r="C33" s="10" t="n">
        <x:v>310</x:v>
      </x:c>
      <x:c r="D33" s="6" t="str">
        <x:v>67inHg</x:v>
      </x:c>
      <x:c r="E33" s="6" t="str">
        <x:v>high</x:v>
      </x:c>
      <x:c r="F33" s="6" t="n">
        <x:v>1390</x:v>
      </x:c>
      <x:c r="G33" s="6" t="n">
        <x:f>'Assumptions'!$C$5</x:f>
        <x:v>9240</x:v>
      </x:c>
      <x:c r="H33" s="11" t="n">
        <x:f>(101325*((288.15-0.0065*B33*0.3048)/288.15)^5.2558797)/(287.05287*(288.15-0.0065*B33*0.3048))</x:f>
        <x:v>0.6351616440492905</x:v>
      </x:c>
      <x:c r="I33" s="11" t="n">
        <x:f>C33*SQRT(H33/1.225)</x:f>
        <x:v>223.2213763319729</x:v>
      </x:c>
      <x:c r="J33" s="11" t="n">
        <x:f>C33*0.44704/SQRT(1.4*287.05287*(288.15-0.0065*B33*0.3048))</x:f>
        <x:v>0.4399126770587831</x:v>
      </x:c>
      <x:c r="K33" s="12" t="n">
        <x:f>0.5*H33*(C33*0.44704)^2</x:f>
        <x:v>6099.165598326362</x:v>
      </x:c>
      <x:c r="L33" s="11" t="n">
        <x:f>'Assumptions'!$C$6*0.09290304</x:f>
        <x:v>21.646408320000003</x:v>
      </x:c>
      <x:c r="M33" s="11" t="n">
        <x:f>('Assumptions'!$C$7*0.3048)^2/L33</x:f>
        <x:v>5.875536480686696</x:v>
      </x:c>
      <x:c r="N33" s="11" t="n">
        <x:f>1/(PI()*M33*'Assumptions'!$C$9)</x:f>
        <x:v>0.06771932385027686</x:v>
      </x:c>
      <x:c r="O33" s="13" t="n">
        <x:f>G33/'Assumptions'!$C$6</x:f>
        <x:v>39.65665236051502</x:v>
      </x:c>
      <x:c r="P33" s="14" t="n">
        <x:f>F33/G33</x:f>
        <x:v>0.15043290043290045</x:v>
      </x:c>
      <x:c r="Q33" s="15" t="n">
        <x:f>G33*4.4482216153/(K33*L33)</x:f>
        <x:v>0.31131648333216233</x:v>
      </x:c>
      <x:c r="R33" s="15" t="n">
        <x:f>'Assumptions'!$C$8+'Assumptions'!$C$13</x:f>
        <x:v>0.016</x:v>
      </x:c>
      <x:c r="S33" s="15" t="n">
        <x:f>N33*Q33^2</x:f>
        <x:v>0.006563218232183352</x:v>
      </x:c>
      <x:c r="T33" s="15" t="n">
        <x:f>'Assumptions'!$C$14</x:f>
        <x:v>0</x:v>
      </x:c>
      <x:c r="U33" s="15" t="n">
        <x:f>SUM(R33:T33)</x:f>
        <x:v>0.022563218232183352</x:v>
      </x:c>
      <x:c r="V33" s="16" t="n">
        <x:f>K33*L33*R33/4.4482216153</x:f>
        <x:v>474.88651554071623</x:v>
      </x:c>
      <x:c r="W33" s="16" t="n">
        <x:f>K33*L33*S33/4.4482216153</x:f>
        <x:v>194.79898981342822</x:v>
      </x:c>
      <x:c r="X33" s="16" t="n">
        <x:f>K33*L33*T33/4.4482216153</x:f>
        <x:v>0</x:v>
      </x:c>
      <x:c r="Y33" s="16" t="n">
        <x:f>SUM(V33:X33)</x:f>
        <x:v>669.6855053541444</x:v>
      </x:c>
      <x:c r="Z33" s="9" t="n">
        <x:f>V33/Y33</x:f>
        <x:v>0.7091187008588244</x:v>
      </x:c>
      <x:c r="AA33" s="9" t="n">
        <x:f>W33/Y33</x:f>
        <x:v>0.29088129914117555</x:v>
      </x:c>
      <x:c r="AB33" s="13" t="n">
        <x:f>G33/Y33</x:f>
        <x:v>13.79752126352755</x:v>
      </x:c>
      <x:c r="AC33" s="11" t="n">
        <x:f>'Assumptions'!$C$10</x:f>
        <x:v>0.8</x:v>
      </x:c>
      <x:c r="AD33" s="16" t="n">
        <x:f>F33</x:f>
        <x:v>1390</x:v>
      </x:c>
      <x:c r="AE33" s="16" t="n">
        <x:f>AD33*AC33</x:f>
        <x:v>1112</x:v>
      </x:c>
      <x:c r="AF33" s="16" t="n">
        <x:f>Y33*4.4482216153*(C33*0.44704)/745.6998716</x:f>
        <x:v>553.606684417846</x:v>
      </x:c>
      <x:c r="AG33" s="16" t="n">
        <x:f>AF33/AC33</x:f>
        <x:v>692.0083555223075</x:v>
      </x:c>
      <x:c r="AH33" s="16" t="n">
        <x:f>AE33-AF33</x:f>
        <x:v>558.393315582154</x:v>
      </x:c>
      <x:c r="AI33" s="16" t="n">
        <x:f>AH33*745.6998716/(G33*4.4482216153)</x:f>
        <x:v>10.130850154284275</x:v>
      </x:c>
      <x:c r="AJ33" s="16" t="n">
        <x:f>AI33*196.8503937</x:f>
        <x:v>1994.2618413865653</x:v>
      </x:c>
      <x:c r="AK33" s="16" t="n">
        <x:f>AH33*745.6998716/(G33*0.45359237*C33*0.44704)</x:f>
        <x:v>0.7168998492333377</x:v>
      </x:c>
      <x:c r="AL33" s="16" t="n">
        <x:f>SQRT(2*G33*4.4482216153/(1.225*L33*'Assumptions'!$C$11))/0.44704</x:f>
        <x:v>98.46385799361909</x:v>
      </x:c>
      <x:c r="AM33" s="16" t="n">
        <x:f>MIN('Assumptions'!$C$12,'Assumptions'!$C$11*K33*L33/(G33*4.4482216153))</x:f>
        <x:v>5.139464453903854</x:v>
      </x:c>
      <x:c r="AN33" s="16" t="n">
        <x:f>IF(AE33*745.6998716/(C33*0.44704)-(V33+X33)*4.4482216153&lt;W33*4.4482216153,"n.a.",MIN(AM33,SQRT((AE33*745.6998716/(C33*0.44704)-(V33+X33)*4.4482216153)/(W33*4.4482216153))))</x:f>
        <x:v>2.113658631956047</x:v>
      </x:c>
      <x:c r="AO33" s="16" t="n">
        <x:f>IF(AM33&gt;1,9.80665*SQRT(AM33^2-1)/(C33*0.44704)*180/PI(),"n.a.")</x:f>
        <x:v>20.43960756201634</x:v>
      </x:c>
      <x:c r="AP33" s="16" t="n">
        <x:f>IF(ISNUMBER(AN33),IF(AN33&gt;1,9.80665*SQRT(AN33^2-1)/(C33*0.44704)*180/PI(),"n.a."),"n.a.")</x:f>
        <x:v>7.549996874963745</x:v>
      </x:c>
      <x:c r="AQ33" s="16" t="n">
        <x:f>IF(AM33&gt;1,(C33*0.44704)^2/(9.80665*SQRT(AM33^2-1)),"n.a.")</x:f>
        <x:v>388.4706010476108</x:v>
      </x:c>
      <x:c r="AR33" s="16" t="n">
        <x:f>IF(ISNUMBER(AN33),IF(AN33&gt;1,(C33*0.44704)^2/(9.80665*SQRT(AN33^2-1)),"n.a."),"n.a.")</x:f>
        <x:v>1051.6807842826965</x:v>
      </x:c>
      <x:c r="AS33" s="6" t="str">
        <x:f>IF(I33&gt;=AL33,"Within modeled CLmax","Below modeled stall")</x:f>
        <x:v>Within modeled CLmax</x:v>
      </x:c>
      <x:c r="AT33" s="6" t="str">
        <x:v>D: aero and eta estimated</x:v>
      </x:c>
      <x:c r="AU33" s="6" t="str">
        <x:v>Fixed BHP node snapshot; no source-backed 6G/CLmax/eta map</x:v>
      </x:c>
    </x:row>
    <x:row r="34">
      <x:c r="B34" s="10" t="n">
        <x:v>20800</x:v>
      </x:c>
      <x:c r="C34" s="10" t="n">
        <x:v>340</x:v>
      </x:c>
      <x:c r="D34" s="6" t="str">
        <x:v>67inHg</x:v>
      </x:c>
      <x:c r="E34" s="6" t="str">
        <x:v>high</x:v>
      </x:c>
      <x:c r="F34" s="6" t="n">
        <x:v>1390</x:v>
      </x:c>
      <x:c r="G34" s="6" t="n">
        <x:f>'Assumptions'!$C$5</x:f>
        <x:v>9240</x:v>
      </x:c>
      <x:c r="H34" s="11" t="n">
        <x:f>(101325*((288.15-0.0065*B34*0.3048)/288.15)^5.2558797)/(287.05287*(288.15-0.0065*B34*0.3048))</x:f>
        <x:v>0.6351616440492905</x:v>
      </x:c>
      <x:c r="I34" s="11" t="n">
        <x:f>C34*SQRT(H34/1.225)</x:f>
        <x:v>244.82344500926058</x:v>
      </x:c>
      <x:c r="J34" s="11" t="n">
        <x:f>C34*0.44704/SQRT(1.4*287.05287*(288.15-0.0065*B34*0.3048))</x:f>
        <x:v>0.4824848716128588</x:v>
      </x:c>
      <x:c r="K34" s="12" t="n">
        <x:f>0.5*H34*(C34*0.44704)^2</x:f>
        <x:v>7336.769439818183</x:v>
      </x:c>
      <x:c r="L34" s="11" t="n">
        <x:f>'Assumptions'!$C$6*0.09290304</x:f>
        <x:v>21.646408320000003</x:v>
      </x:c>
      <x:c r="M34" s="11" t="n">
        <x:f>('Assumptions'!$C$7*0.3048)^2/L34</x:f>
        <x:v>5.875536480686696</x:v>
      </x:c>
      <x:c r="N34" s="11" t="n">
        <x:f>1/(PI()*M34*'Assumptions'!$C$9)</x:f>
        <x:v>0.06771932385027686</x:v>
      </x:c>
      <x:c r="O34" s="13" t="n">
        <x:f>G34/'Assumptions'!$C$6</x:f>
        <x:v>39.65665236051502</x:v>
      </x:c>
      <x:c r="P34" s="14" t="n">
        <x:f>F34/G34</x:f>
        <x:v>0.15043290043290045</x:v>
      </x:c>
      <x:c r="Q34" s="15" t="n">
        <x:f>G34*4.4482216153/(K34*L34)</x:f>
        <x:v>0.25880202463858826</x:v>
      </x:c>
      <x:c r="R34" s="15" t="n">
        <x:f>'Assumptions'!$C$8+'Assumptions'!$C$13</x:f>
        <x:v>0.016</x:v>
      </x:c>
      <x:c r="S34" s="15" t="n">
        <x:f>N34*Q34^2</x:f>
        <x:v>0.0045357379169641485</x:v>
      </x:c>
      <x:c r="T34" s="15" t="n">
        <x:f>'Assumptions'!$C$14</x:f>
        <x:v>0</x:v>
      </x:c>
      <x:c r="U34" s="15" t="n">
        <x:f>SUM(R34:T34)</x:f>
        <x:v>0.02053573791696415</x:v>
      </x:c>
      <x:c r="V34" s="16" t="n">
        <x:f>K34*L34*R34/4.4482216153</x:f>
        <x:v>571.2474630229635</x:v>
      </x:c>
      <x:c r="W34" s="16" t="n">
        <x:f>K34*L34*S34/4.4482216153</x:f>
        <x:v>161.9392986251769</x:v>
      </x:c>
      <x:c r="X34" s="16" t="n">
        <x:f>K34*L34*T34/4.4482216153</x:f>
        <x:v>0</x:v>
      </x:c>
      <x:c r="Y34" s="16" t="n">
        <x:f>SUM(V34:X34)</x:f>
        <x:v>733.1867616481404</x:v>
      </x:c>
      <x:c r="Z34" s="9" t="n">
        <x:f>V34/Y34</x:f>
        <x:v>0.7791295382077666</x:v>
      </x:c>
      <x:c r="AA34" s="9" t="n">
        <x:f>W34/Y34</x:f>
        <x:v>0.22087046179223332</x:v>
      </x:c>
      <x:c r="AB34" s="13" t="n">
        <x:f>G34/Y34</x:f>
        <x:v>12.602518871493642</x:v>
      </x:c>
      <x:c r="AC34" s="11" t="n">
        <x:f>'Assumptions'!$C$10</x:f>
        <x:v>0.8</x:v>
      </x:c>
      <x:c r="AD34" s="16" t="n">
        <x:f>F34</x:f>
        <x:v>1390</x:v>
      </x:c>
      <x:c r="AE34" s="16" t="n">
        <x:f>AD34*AC34</x:f>
        <x:v>1112</x:v>
      </x:c>
      <x:c r="AF34" s="16" t="n">
        <x:f>Y34*4.4482216153*(C34*0.44704)/745.6998716</x:f>
        <x:v>664.755997217745</x:v>
      </x:c>
      <x:c r="AG34" s="16" t="n">
        <x:f>AF34/AC34</x:f>
        <x:v>830.9449965221811</x:v>
      </x:c>
      <x:c r="AH34" s="16" t="n">
        <x:f>AE34-AF34</x:f>
        <x:v>447.24400278225505</x:v>
      </x:c>
      <x:c r="AI34" s="16" t="n">
        <x:f>AH34*745.6998716/(G34*4.4482216153)</x:f>
        <x:v>8.114284050598927</x:v>
      </x:c>
      <x:c r="AJ34" s="16" t="n">
        <x:f>AI34*196.8503937</x:f>
        <x:v>1597.3000099540297</x:v>
      </x:c>
      <x:c r="AK34" s="16" t="n">
        <x:f>AH34*745.6998716/(G34*0.45359237*C34*0.44704)</x:f>
        <x:v>0.5235348309765185</x:v>
      </x:c>
      <x:c r="AL34" s="16" t="n">
        <x:f>SQRT(2*G34*4.4482216153/(1.225*L34*'Assumptions'!$C$11))/0.44704</x:f>
        <x:v>98.46385799361909</x:v>
      </x:c>
      <x:c r="AM34" s="16" t="n">
        <x:f>MIN('Assumptions'!$C$12,'Assumptions'!$C$11*K34*L34/(G34*4.4482216153))</x:f>
        <x:v>6</x:v>
      </x:c>
      <x:c r="AN34" s="16" t="n">
        <x:f>IF(AE34*745.6998716/(C34*0.44704)-(V34+X34)*4.4482216153&lt;W34*4.4482216153,"n.a.",MIN(AM34,SQRT((AE34*745.6998716/(C34*0.44704)-(V34+X34)*4.4482216153)/(W34*4.4482216153))))</x:f>
        <x:v>2.011492795673609</x:v>
      </x:c>
      <x:c r="AO34" s="16" t="n">
        <x:f>IF(AM34&gt;1,9.80665*SQRT(AM34^2-1)/(C34*0.44704)*180/PI(),"n.a.")</x:f>
        <x:v>21.87016344342648</x:v>
      </x:c>
      <x:c r="AP34" s="16" t="n">
        <x:f>IF(ISNUMBER(AN34),IF(AN34&gt;1,9.80665*SQRT(AN34^2-1)/(C34*0.44704)*180/PI(),"n.a."),"n.a.")</x:f>
        <x:v>6.451939966130091</x:v>
      </x:c>
      <x:c r="AQ34" s="16" t="n">
        <x:f>IF(AM34&gt;1,(C34*0.44704)^2/(9.80665*SQRT(AM34^2-1)),"n.a.")</x:f>
        <x:v>398.19509422172024</x:v>
      </x:c>
      <x:c r="AR34" s="16" t="n">
        <x:f>IF(ISNUMBER(AN34),IF(AN34&gt;1,(C34*0.44704)^2/(9.80665*SQRT(AN34^2-1)),"n.a."),"n.a.")</x:f>
        <x:v>1349.763302001567</x:v>
      </x:c>
      <x:c r="AS34" s="6" t="str">
        <x:f>IF(I34&gt;=AL34,"Within modeled CLmax","Below modeled stall")</x:f>
        <x:v>Within modeled CLmax</x:v>
      </x:c>
      <x:c r="AT34" s="6" t="str">
        <x:v>D: aero and eta estimated</x:v>
      </x:c>
      <x:c r="AU34" s="6" t="str">
        <x:v>Fixed BHP node snapshot; no source-backed 6G/CLmax/eta map</x:v>
      </x:c>
    </x:row>
    <x:row r="35">
      <x:c r="B35" s="10" t="n">
        <x:v>20800</x:v>
      </x:c>
      <x:c r="C35" s="10" t="n">
        <x:v>370</x:v>
      </x:c>
      <x:c r="D35" s="6" t="str">
        <x:v>67inHg</x:v>
      </x:c>
      <x:c r="E35" s="6" t="str">
        <x:v>high</x:v>
      </x:c>
      <x:c r="F35" s="6" t="n">
        <x:v>1390</x:v>
      </x:c>
      <x:c r="G35" s="6" t="n">
        <x:f>'Assumptions'!$C$5</x:f>
        <x:v>9240</x:v>
      </x:c>
      <x:c r="H35" s="11" t="n">
        <x:f>(101325*((288.15-0.0065*B35*0.3048)/288.15)^5.2558797)/(287.05287*(288.15-0.0065*B35*0.3048))</x:f>
        <x:v>0.6351616440492905</x:v>
      </x:c>
      <x:c r="I35" s="11" t="n">
        <x:f>C35*SQRT(H35/1.225)</x:f>
        <x:v>266.4255136865483</x:v>
      </x:c>
      <x:c r="J35" s="11" t="n">
        <x:f>C35*0.44704/SQRT(1.4*287.05287*(288.15-0.0065*B35*0.3048))</x:f>
        <x:v>0.5250570661669346</x:v>
      </x:c>
      <x:c r="K35" s="12" t="n">
        <x:f>0.5*H35*(C35*0.44704)^2</x:f>
        <x:v>8688.613635909249</x:v>
      </x:c>
      <x:c r="L35" s="11" t="n">
        <x:f>'Assumptions'!$C$6*0.09290304</x:f>
        <x:v>21.646408320000003</x:v>
      </x:c>
      <x:c r="M35" s="11" t="n">
        <x:f>('Assumptions'!$C$7*0.3048)^2/L35</x:f>
        <x:v>5.875536480686696</x:v>
      </x:c>
      <x:c r="N35" s="11" t="n">
        <x:f>1/(PI()*M35*'Assumptions'!$C$9)</x:f>
        <x:v>0.06771932385027686</x:v>
      </x:c>
      <x:c r="O35" s="13" t="n">
        <x:f>G35/'Assumptions'!$C$6</x:f>
        <x:v>39.65665236051502</x:v>
      </x:c>
      <x:c r="P35" s="14" t="n">
        <x:f>F35/G35</x:f>
        <x:v>0.15043290043290045</x:v>
      </x:c>
      <x:c r="Q35" s="15" t="n">
        <x:f>G35*4.4482216153/(K35*L35)</x:f>
        <x:v>0.21853552993587147</x:v>
      </x:c>
      <x:c r="R35" s="15" t="n">
        <x:f>'Assumptions'!$C$8+'Assumptions'!$C$13</x:f>
        <x:v>0.016</x:v>
      </x:c>
      <x:c r="S35" s="15" t="n">
        <x:f>N35*Q35^2</x:f>
        <x:v>0.003234124424211262</x:v>
      </x:c>
      <x:c r="T35" s="15" t="n">
        <x:f>'Assumptions'!$C$14</x:f>
        <x:v>0</x:v>
      </x:c>
      <x:c r="U35" s="15" t="n">
        <x:f>SUM(R35:T35)</x:f>
        <x:v>0.01923412442421126</x:v>
      </x:c>
      <x:c r="V35" s="16" t="n">
        <x:f>K35*L35*R35/4.4482216153</x:f>
        <x:v>676.5032671958796</x:v>
      </x:c>
      <x:c r="W35" s="16" t="n">
        <x:f>K35*L35*S35/4.4482216153</x:f>
        <x:v>136.743483718557</x:v>
      </x:c>
      <x:c r="X35" s="16" t="n">
        <x:f>K35*L35*T35/4.4482216153</x:f>
        <x:v>0</x:v>
      </x:c>
      <x:c r="Y35" s="16" t="n">
        <x:f>SUM(V35:X35)</x:f>
        <x:v>813.2467509144367</x:v>
      </x:c>
      <x:c r="Z35" s="9" t="n">
        <x:f>V35/Y35</x:f>
        <x:v>0.8318548662324209</x:v>
      </x:c>
      <x:c r="AA35" s="9" t="n">
        <x:f>W35/Y35</x:f>
        <x:v>0.16814513376757906</x:v>
      </x:c>
      <x:c r="AB35" s="13" t="n">
        <x:f>G35/Y35</x:f>
        <x:v>11.361865251364723</x:v>
      </x:c>
      <x:c r="AC35" s="11" t="n">
        <x:f>'Assumptions'!$C$10</x:f>
        <x:v>0.8</x:v>
      </x:c>
      <x:c r="AD35" s="16" t="n">
        <x:f>F35</x:f>
        <x:v>1390</x:v>
      </x:c>
      <x:c r="AE35" s="16" t="n">
        <x:f>AD35*AC35</x:f>
        <x:v>1112</x:v>
      </x:c>
      <x:c r="AF35" s="16" t="n">
        <x:f>Y35*4.4482216153*(C35*0.44704)/745.6998716</x:f>
        <x:v>802.4034608902914</x:v>
      </x:c>
      <x:c r="AG35" s="16" t="n">
        <x:f>AF35/AC35</x:f>
        <x:v>1003.0043261128642</x:v>
      </x:c>
      <x:c r="AH35" s="16" t="n">
        <x:f>AE35-AF35</x:f>
        <x:v>309.5965391097086</x:v>
      </x:c>
      <x:c r="AI35" s="16" t="n">
        <x:f>AH35*745.6998716/(G35*4.4482216153)</x:f>
        <x:v>5.616965781074099</x:v>
      </x:c>
      <x:c r="AJ35" s="16" t="n">
        <x:f>AI35*196.8503937</x:f>
        <x:v>1105.7019254038646</x:v>
      </x:c>
      <x:c r="AK35" s="16" t="n">
        <x:f>AH35*745.6998716/(G35*0.45359237*C35*0.44704)</x:f>
        <x:v>0.3330230892783006</x:v>
      </x:c>
      <x:c r="AL35" s="16" t="n">
        <x:f>SQRT(2*G35*4.4482216153/(1.225*L35*'Assumptions'!$C$11))/0.44704</x:f>
        <x:v>98.46385799361909</x:v>
      </x:c>
      <x:c r="AM35" s="16" t="n">
        <x:f>MIN('Assumptions'!$C$12,'Assumptions'!$C$11*K35*L35/(G35*4.4482216153))</x:f>
        <x:v>6</x:v>
      </x:c>
      <x:c r="AN35" s="16" t="n">
        <x:f>IF(AE35*745.6998716/(C35*0.44704)-(V35+X35)*4.4482216153&lt;W35*4.4482216153,"n.a.",MIN(AM35,SQRT((AE35*745.6998716/(C35*0.44704)-(V35+X35)*4.4482216153)/(W35*4.4482216153))))</x:f>
        <x:v>1.815120785163811</x:v>
      </x:c>
      <x:c r="AO35" s="16" t="n">
        <x:f>IF(AM35&gt;1,9.80665*SQRT(AM35^2-1)/(C35*0.44704)*180/PI(),"n.a.")</x:f>
        <x:v>20.09690694801352</x:v>
      </x:c>
      <x:c r="AP35" s="16" t="n">
        <x:f>IF(ISNUMBER(AN35),IF(AN35&gt;1,9.80665*SQRT(AN35^2-1)/(C35*0.44704)*180/PI(),"n.a."),"n.a.")</x:f>
        <x:v>5.145821295830636</x:v>
      </x:c>
      <x:c r="AQ35" s="16" t="n">
        <x:f>IF(AM35&gt;1,(C35*0.44704)^2/(9.80665*SQRT(AM35^2-1)),"n.a.")</x:f>
        <x:v>471.56495154804065</x:v>
      </x:c>
      <x:c r="AR35" s="16" t="n">
        <x:f>IF(ISNUMBER(AN35),IF(AN35&gt;1,(C35*0.44704)^2/(9.80665*SQRT(AN35^2-1)),"n.a."),"n.a.")</x:f>
        <x:v>1841.6879262566206</x:v>
      </x:c>
      <x:c r="AS35" s="6" t="str">
        <x:f>IF(I35&gt;=AL35,"Within modeled CLmax","Below modeled stall")</x:f>
        <x:v>Within modeled CLmax</x:v>
      </x:c>
      <x:c r="AT35" s="6" t="str">
        <x:v>D: aero and eta estimated</x:v>
      </x:c>
      <x:c r="AU35" s="6" t="str">
        <x:v>Fixed BHP node snapshot; no source-backed 6G/CLmax/eta map</x:v>
      </x:c>
    </x:row>
    <x:row r="36">
      <x:c r="B36" s="10" t="n">
        <x:v>20800</x:v>
      </x:c>
      <x:c r="C36" s="10" t="n">
        <x:v>400</x:v>
      </x:c>
      <x:c r="D36" s="6" t="str">
        <x:v>67inHg</x:v>
      </x:c>
      <x:c r="E36" s="6" t="str">
        <x:v>high</x:v>
      </x:c>
      <x:c r="F36" s="6" t="n">
        <x:v>1390</x:v>
      </x:c>
      <x:c r="G36" s="6" t="n">
        <x:f>'Assumptions'!$C$5</x:f>
        <x:v>9240</x:v>
      </x:c>
      <x:c r="H36" s="11" t="n">
        <x:f>(101325*((288.15-0.0065*B36*0.3048)/288.15)^5.2558797)/(287.05287*(288.15-0.0065*B36*0.3048))</x:f>
        <x:v>0.6351616440492905</x:v>
      </x:c>
      <x:c r="I36" s="11" t="n">
        <x:f>C36*SQRT(H36/1.225)</x:f>
        <x:v>288.02758236383596</x:v>
      </x:c>
      <x:c r="J36" s="11" t="n">
        <x:f>C36*0.44704/SQRT(1.4*287.05287*(288.15-0.0065*B36*0.3048))</x:f>
        <x:v>0.5676292607210104</x:v>
      </x:c>
      <x:c r="K36" s="12" t="n">
        <x:f>0.5*H36*(C36*0.44704)^2</x:f>
        <x:v>10154.698186599562</x:v>
      </x:c>
      <x:c r="L36" s="11" t="n">
        <x:f>'Assumptions'!$C$6*0.09290304</x:f>
        <x:v>21.646408320000003</x:v>
      </x:c>
      <x:c r="M36" s="11" t="n">
        <x:f>('Assumptions'!$C$7*0.3048)^2/L36</x:f>
        <x:v>5.875536480686696</x:v>
      </x:c>
      <x:c r="N36" s="11" t="n">
        <x:f>1/(PI()*M36*'Assumptions'!$C$9)</x:f>
        <x:v>0.06771932385027686</x:v>
      </x:c>
      <x:c r="O36" s="13" t="n">
        <x:f>G36/'Assumptions'!$C$6</x:f>
        <x:v>39.65665236051502</x:v>
      </x:c>
      <x:c r="P36" s="14" t="n">
        <x:f>F36/G36</x:f>
        <x:v>0.15043290043290045</x:v>
      </x:c>
      <x:c r="Q36" s="15" t="n">
        <x:f>G36*4.4482216153/(K36*L36)</x:f>
        <x:v>0.18698446280138</x:v>
      </x:c>
      <x:c r="R36" s="15" t="n">
        <x:f>'Assumptions'!$C$8+'Assumptions'!$C$13</x:f>
        <x:v>0.016</x:v>
      </x:c>
      <x:c r="S36" s="15" t="n">
        <x:f>N36*Q36^2</x:f>
        <x:v>0.0023676835410172668</x:v>
      </x:c>
      <x:c r="T36" s="15" t="n">
        <x:f>'Assumptions'!$C$14</x:f>
        <x:v>0</x:v>
      </x:c>
      <x:c r="U36" s="15" t="n">
        <x:f>SUM(R36:T36)</x:f>
        <x:v>0.01836768354101727</x:v>
      </x:c>
      <x:c r="V36" s="16" t="n">
        <x:f>K36*L36*R36/4.4482216153</x:f>
        <x:v>790.653928059465</x:v>
      </x:c>
      <x:c r="W36" s="16" t="n">
        <x:f>K36*L36*S36/4.4482216153</x:f>
        <x:v>117.00114325669033</x:v>
      </x:c>
      <x:c r="X36" s="16" t="n">
        <x:f>K36*L36*T36/4.4482216153</x:f>
        <x:v>0</x:v>
      </x:c>
      <x:c r="Y36" s="16" t="n">
        <x:f>SUM(V36:X36)</x:f>
        <x:v>907.6550713161553</x:v>
      </x:c>
      <x:c r="Z36" s="9" t="n">
        <x:f>V36/Y36</x:f>
        <x:v>0.8710951473151233</x:v>
      </x:c>
      <x:c r="AA36" s="9" t="n">
        <x:f>W36/Y36</x:f>
        <x:v>0.12890485268487678</x:v>
      </x:c>
      <x:c r="AB36" s="13" t="n">
        <x:f>G36/Y36</x:f>
        <x:v>10.180078635600456</x:v>
      </x:c>
      <x:c r="AC36" s="11" t="n">
        <x:f>'Assumptions'!$C$10</x:f>
        <x:v>0.8</x:v>
      </x:c>
      <x:c r="AD36" s="16" t="n">
        <x:f>F36</x:f>
        <x:v>1390</x:v>
      </x:c>
      <x:c r="AE36" s="16" t="n">
        <x:f>AD36*AC36</x:f>
        <x:v>1112</x:v>
      </x:c>
      <x:c r="AF36" s="16" t="n">
        <x:f>Y36*4.4482216153*(C36*0.44704)/745.6998716</x:f>
        <x:v>968.165409389477</x:v>
      </x:c>
      <x:c r="AG36" s="16" t="n">
        <x:f>AF36/AC36</x:f>
        <x:v>1210.2067617368461</x:v>
      </x:c>
      <x:c r="AH36" s="16" t="n">
        <x:f>AE36-AF36</x:f>
        <x:v>143.83459061052304</x:v>
      </x:c>
      <x:c r="AI36" s="16" t="n">
        <x:f>AH36*745.6998716/(G36*4.4482216153)</x:f>
        <x:v>2.6095704296869333</x:v>
      </x:c>
      <x:c r="AJ36" s="16" t="n">
        <x:f>AI36*196.8503937</x:f>
        <x:v>513.6949664717511</x:v>
      </x:c>
      <x:c r="AK36" s="16" t="n">
        <x:f>AH36*745.6998716/(G36*0.45359237*C36*0.44704)</x:f>
        <x:v>0.14311439610838297</x:v>
      </x:c>
      <x:c r="AL36" s="16" t="n">
        <x:f>SQRT(2*G36*4.4482216153/(1.225*L36*'Assumptions'!$C$11))/0.44704</x:f>
        <x:v>98.46385799361909</x:v>
      </x:c>
      <x:c r="AM36" s="16" t="n">
        <x:f>MIN('Assumptions'!$C$12,'Assumptions'!$C$11*K36*L36/(G36*4.4482216153))</x:f>
        <x:v>6</x:v>
      </x:c>
      <x:c r="AN36" s="16" t="n">
        <x:f>IF(AE36*745.6998716/(C36*0.44704)-(V36+X36)*4.4482216153&lt;W36*4.4482216153,"n.a.",MIN(AM36,SQRT((AE36*745.6998716/(C36*0.44704)-(V36+X36)*4.4482216153)/(W36*4.4482216153))))</x:f>
        <x:v>1.4671433114916015</x:v>
      </x:c>
      <x:c r="AO36" s="16" t="n">
        <x:f>IF(AM36&gt;1,9.80665*SQRT(AM36^2-1)/(C36*0.44704)*180/PI(),"n.a.")</x:f>
        <x:v>18.589638926912507</x:v>
      </x:c>
      <x:c r="AP36" s="16" t="n">
        <x:f>IF(ISNUMBER(AN36),IF(AN36&gt;1,9.80665*SQRT(AN36^2-1)/(C36*0.44704)*180/PI(),"n.a."),"n.a.")</x:f>
        <x:v>3.3733327952833942</x:v>
      </x:c>
      <x:c r="AQ36" s="16" t="n">
        <x:f>IF(AM36&gt;1,(C36*0.44704)^2/(9.80665*SQRT(AM36^2-1)),"n.a.")</x:f>
        <x:v>551.1350785075714</x:v>
      </x:c>
      <x:c r="AR36" s="16" t="n">
        <x:f>IF(ISNUMBER(AN36),IF(AN36&gt;1,(C36*0.44704)^2/(9.80665*SQRT(AN36^2-1)),"n.a."),"n.a.")</x:f>
        <x:v>3037.1750227954053</x:v>
      </x:c>
      <x:c r="AS36" s="6" t="str">
        <x:f>IF(I36&gt;=AL36,"Within modeled CLmax","Below modeled stall")</x:f>
        <x:v>Within modeled CLmax</x:v>
      </x:c>
      <x:c r="AT36" s="6" t="str">
        <x:v>D: aero and eta estimated</x:v>
      </x:c>
      <x:c r="AU36" s="6" t="str">
        <x:v>Fixed BHP node snapshot; no source-backed 6G/CLmax/eta map</x:v>
      </x:c>
    </x:row>
    <x:row r="37">
      <x:c r="B37" s="10" t="n">
        <x:v>20800</x:v>
      </x:c>
      <x:c r="C37" s="10" t="n">
        <x:v>430</x:v>
      </x:c>
      <x:c r="D37" s="6" t="str">
        <x:v>67inHg</x:v>
      </x:c>
      <x:c r="E37" s="6" t="str">
        <x:v>high</x:v>
      </x:c>
      <x:c r="F37" s="6" t="n">
        <x:v>1390</x:v>
      </x:c>
      <x:c r="G37" s="6" t="n">
        <x:f>'Assumptions'!$C$5</x:f>
        <x:v>9240</x:v>
      </x:c>
      <x:c r="H37" s="11" t="n">
        <x:f>(101325*((288.15-0.0065*B37*0.3048)/288.15)^5.2558797)/(287.05287*(288.15-0.0065*B37*0.3048))</x:f>
        <x:v>0.6351616440492905</x:v>
      </x:c>
      <x:c r="I37" s="11" t="n">
        <x:f>C37*SQRT(H37/1.225)</x:f>
        <x:v>309.6296510411237</x:v>
      </x:c>
      <x:c r="J37" s="11" t="n">
        <x:f>C37*0.44704/SQRT(1.4*287.05287*(288.15-0.0065*B37*0.3048))</x:f>
        <x:v>0.6102014552750862</x:v>
      </x:c>
      <x:c r="K37" s="12" t="n">
        <x:f>0.5*H37*(C37*0.44704)^2</x:f>
        <x:v>11735.02309188912</x:v>
      </x:c>
      <x:c r="L37" s="11" t="n">
        <x:f>'Assumptions'!$C$6*0.09290304</x:f>
        <x:v>21.646408320000003</x:v>
      </x:c>
      <x:c r="M37" s="11" t="n">
        <x:f>('Assumptions'!$C$7*0.3048)^2/L37</x:f>
        <x:v>5.875536480686696</x:v>
      </x:c>
      <x:c r="N37" s="11" t="n">
        <x:f>1/(PI()*M37*'Assumptions'!$C$9)</x:f>
        <x:v>0.06771932385027686</x:v>
      </x:c>
      <x:c r="O37" s="13" t="n">
        <x:f>G37/'Assumptions'!$C$6</x:f>
        <x:v>39.65665236051502</x:v>
      </x:c>
      <x:c r="P37" s="14" t="n">
        <x:f>F37/G37</x:f>
        <x:v>0.15043290043290045</x:v>
      </x:c>
      <x:c r="Q37" s="15" t="n">
        <x:f>G37*4.4482216153/(K37*L37)</x:f>
        <x:v>0.16180375364099944</x:v>
      </x:c>
      <x:c r="R37" s="15" t="n">
        <x:f>'Assumptions'!$C$8+'Assumptions'!$C$13</x:f>
        <x:v>0.016</x:v>
      </x:c>
      <x:c r="S37" s="15" t="n">
        <x:f>N37*Q37^2</x:f>
        <x:v>0.0017729226898565316</x:v>
      </x:c>
      <x:c r="T37" s="15" t="n">
        <x:f>'Assumptions'!$C$14</x:f>
        <x:v>0</x:v>
      </x:c>
      <x:c r="U37" s="15" t="n">
        <x:f>SUM(R37:T37)</x:f>
        <x:v>0.017772922689856533</x:v>
      </x:c>
      <x:c r="V37" s="16" t="n">
        <x:f>K37*L37*R37/4.4482216153</x:f>
        <x:v>913.6994456137194</x:v>
      </x:c>
      <x:c r="W37" s="16" t="n">
        <x:f>K37*L37*S37/4.4482216153</x:f>
        <x:v>101.24490492736855</x:v>
      </x:c>
      <x:c r="X37" s="16" t="n">
        <x:f>K37*L37*T37/4.4482216153</x:f>
        <x:v>0</x:v>
      </x:c>
      <x:c r="Y37" s="16" t="n">
        <x:f>SUM(V37:X37)</x:f>
        <x:v>1014.9443505410879</x:v>
      </x:c>
      <x:c r="Z37" s="9" t="n">
        <x:f>V37/Y37</x:f>
        <x:v>0.9002458559689575</x:v>
      </x:c>
      <x:c r="AA37" s="9" t="n">
        <x:f>W37/Y37</x:f>
        <x:v>0.09975414403104248</x:v>
      </x:c>
      <x:c r="AB37" s="13" t="n">
        <x:f>G37/Y37</x:f>
        <x:v>9.10394741847074</x:v>
      </x:c>
      <x:c r="AC37" s="11" t="n">
        <x:f>'Assumptions'!$C$10</x:f>
        <x:v>0.8</x:v>
      </x:c>
      <x:c r="AD37" s="16" t="n">
        <x:f>F37</x:f>
        <x:v>1390</x:v>
      </x:c>
      <x:c r="AE37" s="16" t="n">
        <x:f>AD37*AC37</x:f>
        <x:v>1112</x:v>
      </x:c>
      <x:c r="AF37" s="16" t="n">
        <x:f>Y37*4.4482216153*(C37*0.44704)/745.6998716</x:f>
        <x:v>1163.8028552697779</x:v>
      </x:c>
      <x:c r="AG37" s="16" t="n">
        <x:f>AF37/AC37</x:f>
        <x:v>1454.7535690872223</x:v>
      </x:c>
      <x:c r="AH37" s="16" t="n">
        <x:f>AE37-AF37</x:f>
        <x:v>-51.802855269777865</x:v>
      </x:c>
      <x:c r="AI37" s="16" t="n">
        <x:f>AH37*745.6998716/(G37*4.4482216153)</x:f>
        <x:v>-0.9398518027656843</x:v>
      </x:c>
      <x:c r="AJ37" s="16" t="n">
        <x:f>AI37*196.8503937</x:f>
        <x:v>-185.0101973940797</x:v>
      </x:c>
      <x:c r="AK37" s="16" t="n">
        <x:f>AH37*745.6998716/(G37*0.45359237*C37*0.44704)</x:f>
        <x:v>-0.04794741681548679</x:v>
      </x:c>
      <x:c r="AL37" s="16" t="n">
        <x:f>SQRT(2*G37*4.4482216153/(1.225*L37*'Assumptions'!$C$11))/0.44704</x:f>
        <x:v>98.46385799361909</x:v>
      </x:c>
      <x:c r="AM37" s="16" t="n">
        <x:f>MIN('Assumptions'!$C$12,'Assumptions'!$C$11*K37*L37/(G37*4.4482216153))</x:f>
        <x:v>6</x:v>
      </x:c>
      <x:c r="AN37" s="16" t="str">
        <x:f>IF(AE37*745.6998716/(C37*0.44704)-(V37+X37)*4.4482216153&lt;W37*4.4482216153,"n.a.",MIN(AM37,SQRT((AE37*745.6998716/(C37*0.44704)-(V37+X37)*4.4482216153)/(W37*4.4482216153))))</x:f>
        <x:v>n.a.</x:v>
      </x:c>
      <x:c r="AO37" s="16" t="n">
        <x:f>IF(AM37&gt;1,9.80665*SQRT(AM37^2-1)/(C37*0.44704)*180/PI(),"n.a.")</x:f>
        <x:v>17.2926873738721</x:v>
      </x:c>
      <x:c r="AP37" s="16" t="str">
        <x:f>IF(ISNUMBER(AN37),IF(AN37&gt;1,9.80665*SQRT(AN37^2-1)/(C37*0.44704)*180/PI(),"n.a."),"n.a.")</x:f>
        <x:v>n.a.</x:v>
      </x:c>
      <x:c r="AQ37" s="16" t="n">
        <x:f>IF(AM37&gt;1,(C37*0.44704)^2/(9.80665*SQRT(AM37^2-1)),"n.a.")</x:f>
        <x:v>636.9054751003122</x:v>
      </x:c>
      <x:c r="AR37" s="16" t="str">
        <x:f>IF(ISNUMBER(AN37),IF(AN37&gt;1,(C37*0.44704)^2/(9.80665*SQRT(AN37^2-1)),"n.a."),"n.a.")</x:f>
        <x:v>n.a.</x:v>
      </x:c>
      <x:c r="AS37" s="6" t="str">
        <x:f>IF(I37&gt;=AL37,"Within modeled CLmax","Below modeled stall")</x:f>
        <x:v>Within modeled CLmax</x:v>
      </x:c>
      <x:c r="AT37" s="6" t="str">
        <x:v>D: aero and eta estimated</x:v>
      </x:c>
      <x:c r="AU37" s="6" t="str">
        <x:v>Fixed BHP node snapshot; no source-backed 6G/CLmax/eta map</x:v>
      </x:c>
    </x:row>
    <x:row r="38">
      <x:c r="B38" s="10" t="n">
        <x:v>22400</x:v>
      </x:c>
      <x:c r="C38" s="10" t="n">
        <x:v>130</x:v>
      </x:c>
      <x:c r="D38" s="6" t="str">
        <x:v>67inHg</x:v>
      </x:c>
      <x:c r="E38" s="6" t="str">
        <x:v>high</x:v>
      </x:c>
      <x:c r="F38" s="6" t="n">
        <x:v>1390</x:v>
      </x:c>
      <x:c r="G38" s="6" t="n">
        <x:f>'Assumptions'!$C$5</x:f>
        <x:v>9240</x:v>
      </x:c>
      <x:c r="H38" s="11" t="n">
        <x:f>(101325*((288.15-0.0065*B38*0.3048)/288.15)^5.2558797)/(287.05287*(288.15-0.0065*B38*0.3048))</x:f>
        <x:v>0.6011798798977509</x:v>
      </x:c>
      <x:c r="I38" s="11" t="n">
        <x:f>C38*SQRT(H38/1.225)</x:f>
        <x:v>91.07045924536017</x:v>
      </x:c>
      <x:c r="J38" s="11" t="n">
        <x:f>C38*0.44704/SQRT(1.4*287.05287*(288.15-0.0065*B38*0.3048))</x:f>
        <x:v>0.18567509118653533</x:v>
      </x:c>
      <x:c r="K38" s="12" t="n">
        <x:f>0.5*H38*(C38*0.44704)^2</x:f>
        <x:v>1015.2053906146585</x:v>
      </x:c>
      <x:c r="L38" s="11" t="n">
        <x:f>'Assumptions'!$C$6*0.09290304</x:f>
        <x:v>21.646408320000003</x:v>
      </x:c>
      <x:c r="M38" s="11" t="n">
        <x:f>('Assumptions'!$C$7*0.3048)^2/L38</x:f>
        <x:v>5.875536480686696</x:v>
      </x:c>
      <x:c r="N38" s="11" t="n">
        <x:f>1/(PI()*M38*'Assumptions'!$C$9)</x:f>
        <x:v>0.06771932385027686</x:v>
      </x:c>
      <x:c r="O38" s="13" t="n">
        <x:f>G38/'Assumptions'!$C$6</x:f>
        <x:v>39.65665236051502</x:v>
      </x:c>
      <x:c r="P38" s="14" t="n">
        <x:f>F38/G38</x:f>
        <x:v>0.15043290043290045</x:v>
      </x:c>
      <x:c r="Q38" s="15" t="n">
        <x:f>G38*4.4482216153/(K38*L38)</x:f>
        <x:v>1.8703316618343124</x:v>
      </x:c>
      <x:c r="R38" s="15" t="n">
        <x:f>'Assumptions'!$C$8+'Assumptions'!$C$13</x:f>
        <x:v>0.016</x:v>
      </x:c>
      <x:c r="S38" s="15" t="n">
        <x:f>N38*Q38^2</x:f>
        <x:v>0.23689171110385282</x:v>
      </x:c>
      <x:c r="T38" s="15" t="n">
        <x:f>'Assumptions'!$C$14</x:f>
        <x:v>0</x:v>
      </x:c>
      <x:c r="U38" s="15" t="n">
        <x:f>SUM(R38:T38)</x:f>
        <x:v>0.25289171110385283</x:v>
      </x:c>
      <x:c r="V38" s="16" t="n">
        <x:f>K38*L38*R38/4.4482216153</x:f>
        <x:v>79.04480420066629</x:v>
      </x:c>
      <x:c r="W38" s="16" t="n">
        <x:f>K38*L38*S38/4.4482216153</x:f>
        <x:v>1170.316182560303</x:v>
      </x:c>
      <x:c r="X38" s="16" t="n">
        <x:f>K38*L38*T38/4.4482216153</x:f>
        <x:v>0</x:v>
      </x:c>
      <x:c r="Y38" s="16" t="n">
        <x:f>SUM(V38:X38)</x:f>
        <x:v>1249.3609867609694</x:v>
      </x:c>
      <x:c r="Z38" s="9" t="n">
        <x:f>V38/Y38</x:f>
        <x:v>0.06326818672767578</x:v>
      </x:c>
      <x:c r="AA38" s="9" t="n">
        <x:f>W38/Y38</x:f>
        <x:v>0.9367318132723242</x:v>
      </x:c>
      <x:c r="AB38" s="13" t="n">
        <x:f>G38/Y38</x:f>
        <x:v>7.395780801476089</x:v>
      </x:c>
      <x:c r="AC38" s="11" t="n">
        <x:f>'Assumptions'!$C$10</x:f>
        <x:v>0.8</x:v>
      </x:c>
      <x:c r="AD38" s="16" t="n">
        <x:f>F38</x:f>
        <x:v>1390</x:v>
      </x:c>
      <x:c r="AE38" s="16" t="n">
        <x:f>AD38*AC38</x:f>
        <x:v>1112</x:v>
      </x:c>
      <x:c r="AF38" s="16" t="n">
        <x:f>Y38*4.4482216153*(C38*0.44704)/745.6998716</x:f>
        <x:v>433.11180873735094</x:v>
      </x:c>
      <x:c r="AG38" s="16" t="n">
        <x:f>AF38/AC38</x:f>
        <x:v>541.3897609216887</x:v>
      </x:c>
      <x:c r="AH38" s="16" t="n">
        <x:f>AE38-AF38</x:f>
        <x:v>678.8881912626491</x:v>
      </x:c>
      <x:c r="AI38" s="16" t="n">
        <x:f>AH38*745.6998716/(G38*4.4482216153)</x:f>
        <x:v>12.316971470234396</x:v>
      </x:c>
      <x:c r="AJ38" s="16" t="n">
        <x:f>AI38*196.8503937</x:f>
        <x:v>2424.6006831073087</x:v>
      </x:c>
      <x:c r="AK38" s="16" t="n">
        <x:f>AH38*745.6998716/(G38*0.45359237*C38*0.44704)</x:f>
        <x:v>2.078427472840956</x:v>
      </x:c>
      <x:c r="AL38" s="16" t="n">
        <x:f>SQRT(2*G38*4.4482216153/(1.225*L38*'Assumptions'!$C$11))/0.44704</x:f>
        <x:v>98.46385799361909</x:v>
      </x:c>
      <x:c r="AM38" s="16" t="n">
        <x:f>MIN('Assumptions'!$C$12,'Assumptions'!$C$11*K38*L38/(G38*4.4482216153))</x:f>
        <x:v>0.8554632489249596</x:v>
      </x:c>
      <x:c r="AN38" s="16" t="n">
        <x:f>IF(AE38*745.6998716/(C38*0.44704)-(V38+X38)*4.4482216153&lt;W38*4.4482216153,"n.a.",MIN(AM38,SQRT((AE38*745.6998716/(C38*0.44704)-(V38+X38)*4.4482216153)/(W38*4.4482216153))))</x:f>
        <x:v>0.8554632489249596</x:v>
      </x:c>
      <x:c r="AO38" s="16" t="str">
        <x:f>IF(AM38&gt;1,9.80665*SQRT(AM38^2-1)/(C38*0.44704)*180/PI(),"n.a.")</x:f>
        <x:v>n.a.</x:v>
      </x:c>
      <x:c r="AP38" s="16" t="str">
        <x:f>IF(ISNUMBER(AN38),IF(AN38&gt;1,9.80665*SQRT(AN38^2-1)/(C38*0.44704)*180/PI(),"n.a."),"n.a.")</x:f>
        <x:v>n.a.</x:v>
      </x:c>
      <x:c r="AQ38" s="16" t="str">
        <x:f>IF(AM38&gt;1,(C38*0.44704)^2/(9.80665*SQRT(AM38^2-1)),"n.a.")</x:f>
        <x:v>n.a.</x:v>
      </x:c>
      <x:c r="AR38" s="16" t="str">
        <x:f>IF(ISNUMBER(AN38),IF(AN38&gt;1,(C38*0.44704)^2/(9.80665*SQRT(AN38^2-1)),"n.a."),"n.a.")</x:f>
        <x:v>n.a.</x:v>
      </x:c>
      <x:c r="AS38" s="6" t="str">
        <x:f>IF(I38&gt;=AL38,"Within modeled CLmax","Below modeled stall")</x:f>
        <x:v>Below modeled stall</x:v>
      </x:c>
      <x:c r="AT38" s="6" t="str">
        <x:v>D: aero and eta estimated</x:v>
      </x:c>
      <x:c r="AU38" s="6" t="str">
        <x:v>Fixed BHP node snapshot; no source-backed 6G/CLmax/eta map</x:v>
      </x:c>
    </x:row>
    <x:row r="39">
      <x:c r="B39" s="10" t="n">
        <x:v>22400</x:v>
      </x:c>
      <x:c r="C39" s="10" t="n">
        <x:v>160</x:v>
      </x:c>
      <x:c r="D39" s="6" t="str">
        <x:v>67inHg</x:v>
      </x:c>
      <x:c r="E39" s="6" t="str">
        <x:v>high</x:v>
      </x:c>
      <x:c r="F39" s="6" t="n">
        <x:v>1390</x:v>
      </x:c>
      <x:c r="G39" s="6" t="n">
        <x:f>'Assumptions'!$C$5</x:f>
        <x:v>9240</x:v>
      </x:c>
      <x:c r="H39" s="11" t="n">
        <x:f>(101325*((288.15-0.0065*B39*0.3048)/288.15)^5.2558797)/(287.05287*(288.15-0.0065*B39*0.3048))</x:f>
        <x:v>0.6011798798977509</x:v>
      </x:c>
      <x:c r="I39" s="11" t="n">
        <x:f>C39*SQRT(H39/1.225)</x:f>
        <x:v>112.08671907121251</x:v>
      </x:c>
      <x:c r="J39" s="11" t="n">
        <x:f>C39*0.44704/SQRT(1.4*287.05287*(288.15-0.0065*B39*0.3048))</x:f>
        <x:v>0.22852318915265885</x:v>
      </x:c>
      <x:c r="K39" s="12" t="n">
        <x:f>0.5*H39*(C39*0.44704)^2</x:f>
        <x:v>1537.8259171440977</x:v>
      </x:c>
      <x:c r="L39" s="11" t="n">
        <x:f>'Assumptions'!$C$6*0.09290304</x:f>
        <x:v>21.646408320000003</x:v>
      </x:c>
      <x:c r="M39" s="11" t="n">
        <x:f>('Assumptions'!$C$7*0.3048)^2/L39</x:f>
        <x:v>5.875536480686696</x:v>
      </x:c>
      <x:c r="N39" s="11" t="n">
        <x:f>1/(PI()*M39*'Assumptions'!$C$9)</x:f>
        <x:v>0.06771932385027686</x:v>
      </x:c>
      <x:c r="O39" s="13" t="n">
        <x:f>G39/'Assumptions'!$C$6</x:f>
        <x:v>39.65665236051502</x:v>
      </x:c>
      <x:c r="P39" s="14" t="n">
        <x:f>F39/G39</x:f>
        <x:v>0.15043290043290045</x:v>
      </x:c>
      <x:c r="Q39" s="15" t="n">
        <x:f>G39*4.4482216153/(K39*L39)</x:f>
        <x:v>1.2347111361328083</x:v>
      </x:c>
      <x:c r="R39" s="15" t="n">
        <x:f>'Assumptions'!$C$8+'Assumptions'!$C$13</x:f>
        <x:v>0.016</x:v>
      </x:c>
      <x:c r="S39" s="15" t="n">
        <x:f>N39*Q39^2</x:f>
        <x:v>0.10323889405574256</x:v>
      </x:c>
      <x:c r="T39" s="15" t="n">
        <x:f>'Assumptions'!$C$14</x:f>
        <x:v>0</x:v>
      </x:c>
      <x:c r="U39" s="15" t="n">
        <x:f>SUM(R39:T39)</x:f>
        <x:v>0.11923889405574256</x:v>
      </x:c>
      <x:c r="V39" s="16" t="n">
        <x:f>K39*L39*R39/4.4482216153</x:f>
        <x:v>119.73650813828735</x:v>
      </x:c>
      <x:c r="W39" s="16" t="n">
        <x:f>K39*L39*S39/4.4482216153</x:f>
        <x:v>772.5915423933252</x:v>
      </x:c>
      <x:c r="X39" s="16" t="n">
        <x:f>K39*L39*T39/4.4482216153</x:f>
        <x:v>0</x:v>
      </x:c>
      <x:c r="Y39" s="16" t="n">
        <x:f>SUM(V39:X39)</x:f>
        <x:v>892.3280505316126</x:v>
      </x:c>
      <x:c r="Z39" s="9" t="n">
        <x:f>V39/Y39</x:f>
        <x:v>0.13418440456618308</x:v>
      </x:c>
      <x:c r="AA39" s="9" t="n">
        <x:f>W39/Y39</x:f>
        <x:v>0.8658155954338169</x:v>
      </x:c>
      <x:c r="AB39" s="13" t="n">
        <x:f>G39/Y39</x:f>
        <x:v>10.354936163326016</x:v>
      </x:c>
      <x:c r="AC39" s="11" t="n">
        <x:f>'Assumptions'!$C$10</x:f>
        <x:v>0.8</x:v>
      </x:c>
      <x:c r="AD39" s="16" t="n">
        <x:f>F39</x:f>
        <x:v>1390</x:v>
      </x:c>
      <x:c r="AE39" s="16" t="n">
        <x:f>AD39*AC39</x:f>
        <x:v>1112</x:v>
      </x:c>
      <x:c r="AF39" s="16" t="n">
        <x:f>Y39*4.4482216153*(C39*0.44704)/745.6998716</x:f>
        <x:v>380.72663488781654</x:v>
      </x:c>
      <x:c r="AG39" s="16" t="n">
        <x:f>AF39/AC39</x:f>
        <x:v>475.9082936097707</x:v>
      </x:c>
      <x:c r="AH39" s="16" t="n">
        <x:f>AE39-AF39</x:f>
        <x:v>731.2733651121835</x:v>
      </x:c>
      <x:c r="AI39" s="16" t="n">
        <x:f>AH39*745.6998716/(G39*4.4482216153)</x:f>
        <x:v>13.26738819580439</x:v>
      </x:c>
      <x:c r="AJ39" s="16" t="n">
        <x:f>AI39*196.8503937</x:f>
        <x:v>2611.690589714827</x:v>
      </x:c>
      <x:c r="AK39" s="16" t="n">
        <x:f>AH39*745.6998716/(G39*0.45359237*C39*0.44704)</x:f>
        <x:v>1.819029511502613</x:v>
      </x:c>
      <x:c r="AL39" s="16" t="n">
        <x:f>SQRT(2*G39*4.4482216153/(1.225*L39*'Assumptions'!$C$11))/0.44704</x:f>
        <x:v>98.46385799361909</x:v>
      </x:c>
      <x:c r="AM39" s="16" t="n">
        <x:f>MIN('Assumptions'!$C$12,'Assumptions'!$C$11*K39*L39/(G39*4.4482216153))</x:f>
        <x:v>1.29584965517627</x:v>
      </x:c>
      <x:c r="AN39" s="16" t="n">
        <x:f>IF(AE39*745.6998716/(C39*0.44704)-(V39+X39)*4.4482216153&lt;W39*4.4482216153,"n.a.",MIN(AM39,SQRT((AE39*745.6998716/(C39*0.44704)-(V39+X39)*4.4482216153)/(W39*4.4482216153))))</x:f>
        <x:v>1.29584965517627</x:v>
      </x:c>
      <x:c r="AO39" s="16" t="n">
        <x:f>IF(AM39&gt;1,9.80665*SQRT(AM39^2-1)/(C39*0.44704)*180/PI(),"n.a.")</x:f>
        <x:v>6.474171460057716</x:v>
      </x:c>
      <x:c r="AP39" s="16" t="n">
        <x:f>IF(ISNUMBER(AN39),IF(AN39&gt;1,9.80665*SQRT(AN39^2-1)/(C39*0.44704)*180/PI(),"n.a."),"n.a.")</x:f>
        <x:v>6.474171460057716</x:v>
      </x:c>
      <x:c r="AQ39" s="16" t="n">
        <x:f>IF(AM39&gt;1,(C39*0.44704)^2/(9.80665*SQRT(AM39^2-1)),"n.a.")</x:f>
        <x:v>633.0015924119497</x:v>
      </x:c>
      <x:c r="AR39" s="16" t="n">
        <x:f>IF(ISNUMBER(AN39),IF(AN39&gt;1,(C39*0.44704)^2/(9.80665*SQRT(AN39^2-1)),"n.a."),"n.a.")</x:f>
        <x:v>633.0015924119497</x:v>
      </x:c>
      <x:c r="AS39" s="6" t="str">
        <x:f>IF(I39&gt;=AL39,"Within modeled CLmax","Below modeled stall")</x:f>
        <x:v>Within modeled CLmax</x:v>
      </x:c>
      <x:c r="AT39" s="6" t="str">
        <x:v>D: aero and eta estimated</x:v>
      </x:c>
      <x:c r="AU39" s="6" t="str">
        <x:v>Fixed BHP node snapshot; no source-backed 6G/CLmax/eta map</x:v>
      </x:c>
    </x:row>
    <x:row r="40">
      <x:c r="B40" s="10" t="n">
        <x:v>22400</x:v>
      </x:c>
      <x:c r="C40" s="10" t="n">
        <x:v>190</x:v>
      </x:c>
      <x:c r="D40" s="6" t="str">
        <x:v>67inHg</x:v>
      </x:c>
      <x:c r="E40" s="6" t="str">
        <x:v>high</x:v>
      </x:c>
      <x:c r="F40" s="6" t="n">
        <x:v>1390</x:v>
      </x:c>
      <x:c r="G40" s="6" t="n">
        <x:f>'Assumptions'!$C$5</x:f>
        <x:v>9240</x:v>
      </x:c>
      <x:c r="H40" s="11" t="n">
        <x:f>(101325*((288.15-0.0065*B40*0.3048)/288.15)^5.2558797)/(287.05287*(288.15-0.0065*B40*0.3048))</x:f>
        <x:v>0.6011798798977509</x:v>
      </x:c>
      <x:c r="I40" s="11" t="n">
        <x:f>C40*SQRT(H40/1.225)</x:f>
        <x:v>133.10297889706487</x:v>
      </x:c>
      <x:c r="J40" s="11" t="n">
        <x:f>C40*0.44704/SQRT(1.4*287.05287*(288.15-0.0065*B40*0.3048))</x:f>
        <x:v>0.2713712871187824</x:v>
      </x:c>
      <x:c r="K40" s="12" t="n">
        <x:f>0.5*H40*(C40*0.44704)^2</x:f>
        <x:v>2168.5748284727324</x:v>
      </x:c>
      <x:c r="L40" s="11" t="n">
        <x:f>'Assumptions'!$C$6*0.09290304</x:f>
        <x:v>21.646408320000003</x:v>
      </x:c>
      <x:c r="M40" s="11" t="n">
        <x:f>('Assumptions'!$C$7*0.3048)^2/L40</x:f>
        <x:v>5.875536480686696</x:v>
      </x:c>
      <x:c r="N40" s="11" t="n">
        <x:f>1/(PI()*M40*'Assumptions'!$C$9)</x:f>
        <x:v>0.06771932385027686</x:v>
      </x:c>
      <x:c r="O40" s="13" t="n">
        <x:f>G40/'Assumptions'!$C$6</x:f>
        <x:v>39.65665236051502</x:v>
      </x:c>
      <x:c r="P40" s="14" t="n">
        <x:f>F40/G40</x:f>
        <x:v>0.15043290043290045</x:v>
      </x:c>
      <x:c r="Q40" s="15" t="n">
        <x:f>G40*4.4482216153/(K40*L40)</x:f>
        <x:v>0.8755846283933484</x:v>
      </x:c>
      <x:c r="R40" s="15" t="n">
        <x:f>'Assumptions'!$C$8+'Assumptions'!$C$13</x:f>
        <x:v>0.016</x:v>
      </x:c>
      <x:c r="S40" s="15" t="n">
        <x:f>N40*Q40^2</x:f>
        <x:v>0.05191691408780733</x:v>
      </x:c>
      <x:c r="T40" s="15" t="n">
        <x:f>'Assumptions'!$C$14</x:f>
        <x:v>0</x:v>
      </x:c>
      <x:c r="U40" s="15" t="n">
        <x:f>SUM(R40:T40)</x:f>
        <x:v>0.06791691408780734</x:v>
      </x:c>
      <x:c r="V40" s="16" t="n">
        <x:f>K40*L40*R40/4.4482216153</x:f>
        <x:v>168.84718530438184</x:v>
      </x:c>
      <x:c r="W40" s="16" t="n">
        <x:f>K40*L40*S40/4.4482216153</x:f>
        <x:v>547.8765508384798</x:v>
      </x:c>
      <x:c r="X40" s="16" t="n">
        <x:f>K40*L40*T40/4.4482216153</x:f>
        <x:v>0</x:v>
      </x:c>
      <x:c r="Y40" s="16" t="n">
        <x:f>SUM(V40:X40)</x:f>
        <x:v>716.7237361428616</x:v>
      </x:c>
      <x:c r="Z40" s="9" t="n">
        <x:f>V40/Y40</x:f>
        <x:v>0.2355819638582839</x:v>
      </x:c>
      <x:c r="AA40" s="9" t="n">
        <x:f>W40/Y40</x:f>
        <x:v>0.7644180361417161</x:v>
      </x:c>
      <x:c r="AB40" s="13" t="n">
        <x:f>G40/Y40</x:f>
        <x:v>12.89199664256442</x:v>
      </x:c>
      <x:c r="AC40" s="11" t="n">
        <x:f>'Assumptions'!$C$10</x:f>
        <x:v>0.8</x:v>
      </x:c>
      <x:c r="AD40" s="16" t="n">
        <x:f>F40</x:f>
        <x:v>1390</x:v>
      </x:c>
      <x:c r="AE40" s="16" t="n">
        <x:f>AD40*AC40</x:f>
        <x:v>1112</x:v>
      </x:c>
      <x:c r="AF40" s="16" t="n">
        <x:f>Y40*4.4482216153*(C40*0.44704)/745.6998716</x:f>
        <x:v>363.1400263069738</x:v>
      </x:c>
      <x:c r="AG40" s="16" t="n">
        <x:f>AF40/AC40</x:f>
        <x:v>453.9250328837173</x:v>
      </x:c>
      <x:c r="AH40" s="16" t="n">
        <x:f>AE40-AF40</x:f>
        <x:v>748.8599736930262</x:v>
      </x:c>
      <x:c r="AI40" s="16" t="n">
        <x:f>AH40*745.6998716/(G40*4.4482216153)</x:f>
        <x:v>13.586459522918718</x:v>
      </x:c>
      <x:c r="AJ40" s="16" t="n">
        <x:f>AI40*196.8503937</x:f>
        <x:v>2674.499906075664</x:v>
      </x:c>
      <x:c r="AK40" s="16" t="n">
        <x:f>AH40*745.6998716/(G40*0.45359237*C40*0.44704)</x:f>
        <x:v>1.5686533794410717</x:v>
      </x:c>
      <x:c r="AL40" s="16" t="n">
        <x:f>SQRT(2*G40*4.4482216153/(1.225*L40*'Assumptions'!$C$11))/0.44704</x:f>
        <x:v>98.46385799361909</x:v>
      </x:c>
      <x:c r="AM40" s="16" t="n">
        <x:f>MIN('Assumptions'!$C$12,'Assumptions'!$C$11*K40*L40/(G40*4.4482216153))</x:f>
        <x:v>1.8273504903071627</x:v>
      </x:c>
      <x:c r="AN40" s="16" t="n">
        <x:f>IF(AE40*745.6998716/(C40*0.44704)-(V40+X40)*4.4482216153&lt;W40*4.4482216153,"n.a.",MIN(AM40,SQRT((AE40*745.6998716/(C40*0.44704)-(V40+X40)*4.4482216153)/(W40*4.4482216153))))</x:f>
        <x:v>1.8273504903071627</x:v>
      </x:c>
      <x:c r="AO40" s="16" t="n">
        <x:f>IF(AM40&gt;1,9.80665*SQRT(AM40^2-1)/(C40*0.44704)*180/PI(),"n.a.")</x:f>
        <x:v>10.117609452765157</x:v>
      </x:c>
      <x:c r="AP40" s="16" t="n">
        <x:f>IF(ISNUMBER(AN40),IF(AN40&gt;1,9.80665*SQRT(AN40^2-1)/(C40*0.44704)*180/PI(),"n.a."),"n.a.")</x:f>
        <x:v>10.117609452765157</x:v>
      </x:c>
      <x:c r="AQ40" s="16" t="n">
        <x:f>IF(AM40&gt;1,(C40*0.44704)^2/(9.80665*SQRT(AM40^2-1)),"n.a.")</x:f>
        <x:v>480.99959033705755</x:v>
      </x:c>
      <x:c r="AR40" s="16" t="n">
        <x:f>IF(ISNUMBER(AN40),IF(AN40&gt;1,(C40*0.44704)^2/(9.80665*SQRT(AN40^2-1)),"n.a."),"n.a.")</x:f>
        <x:v>480.99959033705755</x:v>
      </x:c>
      <x:c r="AS40" s="6" t="str">
        <x:f>IF(I40&gt;=AL40,"Within modeled CLmax","Below modeled stall")</x:f>
        <x:v>Within modeled CLmax</x:v>
      </x:c>
      <x:c r="AT40" s="6" t="str">
        <x:v>D: aero and eta estimated</x:v>
      </x:c>
      <x:c r="AU40" s="6" t="str">
        <x:v>Fixed BHP node snapshot; no source-backed 6G/CLmax/eta map</x:v>
      </x:c>
    </x:row>
    <x:row r="41">
      <x:c r="B41" s="10" t="n">
        <x:v>22400</x:v>
      </x:c>
      <x:c r="C41" s="10" t="n">
        <x:v>220</x:v>
      </x:c>
      <x:c r="D41" s="6" t="str">
        <x:v>67inHg</x:v>
      </x:c>
      <x:c r="E41" s="6" t="str">
        <x:v>high</x:v>
      </x:c>
      <x:c r="F41" s="6" t="n">
        <x:v>1390</x:v>
      </x:c>
      <x:c r="G41" s="6" t="n">
        <x:f>'Assumptions'!$C$5</x:f>
        <x:v>9240</x:v>
      </x:c>
      <x:c r="H41" s="11" t="n">
        <x:f>(101325*((288.15-0.0065*B41*0.3048)/288.15)^5.2558797)/(287.05287*(288.15-0.0065*B41*0.3048))</x:f>
        <x:v>0.6011798798977509</x:v>
      </x:c>
      <x:c r="I41" s="11" t="n">
        <x:f>C41*SQRT(H41/1.225)</x:f>
        <x:v>154.1192387229172</x:v>
      </x:c>
      <x:c r="J41" s="11" t="n">
        <x:f>C41*0.44704/SQRT(1.4*287.05287*(288.15-0.0065*B41*0.3048))</x:f>
        <x:v>0.31421938508490593</x:v>
      </x:c>
      <x:c r="K41" s="12" t="n">
        <x:f>0.5*H41*(C41*0.44704)^2</x:f>
        <x:v>2907.45212460056</x:v>
      </x:c>
      <x:c r="L41" s="11" t="n">
        <x:f>'Assumptions'!$C$6*0.09290304</x:f>
        <x:v>21.646408320000003</x:v>
      </x:c>
      <x:c r="M41" s="11" t="n">
        <x:f>('Assumptions'!$C$7*0.3048)^2/L41</x:f>
        <x:v>5.875536480686696</x:v>
      </x:c>
      <x:c r="N41" s="11" t="n">
        <x:f>1/(PI()*M41*'Assumptions'!$C$9)</x:f>
        <x:v>0.06771932385027686</x:v>
      </x:c>
      <x:c r="O41" s="13" t="n">
        <x:f>G41/'Assumptions'!$C$6</x:f>
        <x:v>39.65665236051502</x:v>
      </x:c>
      <x:c r="P41" s="14" t="n">
        <x:f>F41/G41</x:f>
        <x:v>0.15043290043290045</x:v>
      </x:c>
      <x:c r="Q41" s="15" t="n">
        <x:f>G41*4.4482216153/(K41*L41)</x:f>
        <x:v>0.6530703529958654</x:v>
      </x:c>
      <x:c r="R41" s="15" t="n">
        <x:f>'Assumptions'!$C$8+'Assumptions'!$C$13</x:f>
        <x:v>0.016</x:v>
      </x:c>
      <x:c r="S41" s="15" t="n">
        <x:f>N41*Q41^2</x:f>
        <x:v>0.028882351618900442</x:v>
      </x:c>
      <x:c r="T41" s="15" t="n">
        <x:f>'Assumptions'!$C$14</x:f>
        <x:v>0</x:v>
      </x:c>
      <x:c r="U41" s="15" t="n">
        <x:f>SUM(R41:T41)</x:f>
        <x:v>0.044882351618900446</x:v>
      </x:c>
      <x:c r="V41" s="16" t="n">
        <x:f>K41*L41*R41/4.4482216153</x:f>
        <x:v>226.37683569894955</x:v>
      </x:c>
      <x:c r="W41" s="16" t="n">
        <x:f>K41*L41*S41/4.4482216153</x:f>
        <x:v>408.64346043944465</x:v>
      </x:c>
      <x:c r="X41" s="16" t="n">
        <x:f>K41*L41*T41/4.4482216153</x:f>
        <x:v>0</x:v>
      </x:c>
      <x:c r="Y41" s="16" t="n">
        <x:f>SUM(V41:X41)</x:f>
        <x:v>635.0202961383942</x:v>
      </x:c>
      <x:c r="Z41" s="9" t="n">
        <x:f>V41/Y41</x:f>
        <x:v>0.356487559650556</x:v>
      </x:c>
      <x:c r="AA41" s="9" t="n">
        <x:f>W41/Y41</x:f>
        <x:v>0.643512440349444</x:v>
      </x:c>
      <x:c r="AB41" s="13" t="n">
        <x:f>G41/Y41</x:f>
        <x:v>14.550716026226452</x:v>
      </x:c>
      <x:c r="AC41" s="11" t="n">
        <x:f>'Assumptions'!$C$10</x:f>
        <x:v>0.8</x:v>
      </x:c>
      <x:c r="AD41" s="16" t="n">
        <x:f>F41</x:f>
        <x:v>1390</x:v>
      </x:c>
      <x:c r="AE41" s="16" t="n">
        <x:f>AD41*AC41</x:f>
        <x:v>1112</x:v>
      </x:c>
      <x:c r="AF41" s="16" t="n">
        <x:f>Y41*4.4482216153*(C41*0.44704)/745.6998716</x:f>
        <x:v>372.5452403956417</x:v>
      </x:c>
      <x:c r="AG41" s="16" t="n">
        <x:f>AF41/AC41</x:f>
        <x:v>465.68155049455214</x:v>
      </x:c>
      <x:c r="AH41" s="16" t="n">
        <x:f>AE41-AF41</x:f>
        <x:v>739.4547596043583</x:v>
      </x:c>
      <x:c r="AI41" s="16" t="n">
        <x:f>AH41*745.6998716/(G41*4.4482216153)</x:f>
        <x:v>13.415822067307486</x:v>
      </x:c>
      <x:c r="AJ41" s="16" t="n">
        <x:f>AI41*196.8503937</x:f>
        <x:v>2640.9098557586267</x:v>
      </x:c>
      <x:c r="AK41" s="16" t="n">
        <x:f>AH41*745.6998716/(G41*0.45359237*C41*0.44704)</x:f>
        <x:v>1.337731334571741</x:v>
      </x:c>
      <x:c r="AL41" s="16" t="n">
        <x:f>SQRT(2*G41*4.4482216153/(1.225*L41*'Assumptions'!$C$11))/0.44704</x:f>
        <x:v>98.46385799361909</x:v>
      </x:c>
      <x:c r="AM41" s="16" t="n">
        <x:f>MIN('Assumptions'!$C$12,'Assumptions'!$C$11*K41*L41/(G41*4.4482216153))</x:f>
        <x:v>2.449965754317636</x:v>
      </x:c>
      <x:c r="AN41" s="16" t="n">
        <x:f>IF(AE41*745.6998716/(C41*0.44704)-(V41+X41)*4.4482216153&lt;W41*4.4482216153,"n.a.",MIN(AM41,SQRT((AE41*745.6998716/(C41*0.44704)-(V41+X41)*4.4482216153)/(W41*4.4482216153))))</x:f>
        <x:v>2.020998550363668</x:v>
      </x:c>
      <x:c r="AO41" s="16" t="n">
        <x:f>IF(AM41&gt;1,9.80665*SQRT(AM41^2-1)/(C41*0.44704)*180/PI(),"n.a.")</x:f>
        <x:v>12.777930078679798</x:v>
      </x:c>
      <x:c r="AP41" s="16" t="n">
        <x:f>IF(ISNUMBER(AN41),IF(AN41&gt;1,9.80665*SQRT(AN41^2-1)/(C41*0.44704)*180/PI(),"n.a."),"n.a.")</x:f>
        <x:v>10.03372199658823</x:v>
      </x:c>
      <x:c r="AQ41" s="16" t="n">
        <x:f>IF(AM41&gt;1,(C41*0.44704)^2/(9.80665*SQRT(AM41^2-1)),"n.a.")</x:f>
        <x:v>440.9924866922131</x:v>
      </x:c>
      <x:c r="AR41" s="16" t="n">
        <x:f>IF(ISNUMBER(AN41),IF(AN41&gt;1,(C41*0.44704)^2/(9.80665*SQRT(AN41^2-1)),"n.a."),"n.a.")</x:f>
        <x:v>561.6032776363838</x:v>
      </x:c>
      <x:c r="AS41" s="6" t="str">
        <x:f>IF(I41&gt;=AL41,"Within modeled CLmax","Below modeled stall")</x:f>
        <x:v>Within modeled CLmax</x:v>
      </x:c>
      <x:c r="AT41" s="6" t="str">
        <x:v>D: aero and eta estimated</x:v>
      </x:c>
      <x:c r="AU41" s="6" t="str">
        <x:v>Fixed BHP node snapshot; no source-backed 6G/CLmax/eta map</x:v>
      </x:c>
    </x:row>
    <x:row r="42">
      <x:c r="B42" s="10" t="n">
        <x:v>22400</x:v>
      </x:c>
      <x:c r="C42" s="10" t="n">
        <x:v>250</x:v>
      </x:c>
      <x:c r="D42" s="6" t="str">
        <x:v>67inHg</x:v>
      </x:c>
      <x:c r="E42" s="6" t="str">
        <x:v>high</x:v>
      </x:c>
      <x:c r="F42" s="6" t="n">
        <x:v>1390</x:v>
      </x:c>
      <x:c r="G42" s="6" t="n">
        <x:f>'Assumptions'!$C$5</x:f>
        <x:v>9240</x:v>
      </x:c>
      <x:c r="H42" s="11" t="n">
        <x:f>(101325*((288.15-0.0065*B42*0.3048)/288.15)^5.2558797)/(287.05287*(288.15-0.0065*B42*0.3048))</x:f>
        <x:v>0.6011798798977509</x:v>
      </x:c>
      <x:c r="I42" s="11" t="n">
        <x:f>C42*SQRT(H42/1.225)</x:f>
        <x:v>175.13549854876956</x:v>
      </x:c>
      <x:c r="J42" s="11" t="n">
        <x:f>C42*0.44704/SQRT(1.4*287.05287*(288.15-0.0065*B42*0.3048))</x:f>
        <x:v>0.3570674830510295</x:v>
      </x:c>
      <x:c r="K42" s="12" t="n">
        <x:f>0.5*H42*(C42*0.44704)^2</x:f>
        <x:v>3754.457805527584</x:v>
      </x:c>
      <x:c r="L42" s="11" t="n">
        <x:f>'Assumptions'!$C$6*0.09290304</x:f>
        <x:v>21.646408320000003</x:v>
      </x:c>
      <x:c r="M42" s="11" t="n">
        <x:f>('Assumptions'!$C$7*0.3048)^2/L42</x:f>
        <x:v>5.875536480686696</x:v>
      </x:c>
      <x:c r="N42" s="11" t="n">
        <x:f>1/(PI()*M42*'Assumptions'!$C$9)</x:f>
        <x:v>0.06771932385027686</x:v>
      </x:c>
      <x:c r="O42" s="13" t="n">
        <x:f>G42/'Assumptions'!$C$6</x:f>
        <x:v>39.65665236051502</x:v>
      </x:c>
      <x:c r="P42" s="14" t="n">
        <x:f>F42/G42</x:f>
        <x:v>0.15043290043290045</x:v>
      </x:c>
      <x:c r="Q42" s="15" t="n">
        <x:f>G42*4.4482216153/(K42*L42)</x:f>
        <x:v>0.505737681359998</x:v>
      </x:c>
      <x:c r="R42" s="15" t="n">
        <x:f>'Assumptions'!$C$8+'Assumptions'!$C$13</x:f>
        <x:v>0.016</x:v>
      </x:c>
      <x:c r="S42" s="15" t="n">
        <x:f>N42*Q42^2</x:f>
        <x:v>0.017320612251743073</x:v>
      </x:c>
      <x:c r="T42" s="15" t="n">
        <x:f>'Assumptions'!$C$14</x:f>
        <x:v>0</x:v>
      </x:c>
      <x:c r="U42" s="15" t="n">
        <x:f>SUM(R42:T42)</x:f>
        <x:v>0.03332061225174307</x:v>
      </x:c>
      <x:c r="V42" s="16" t="n">
        <x:f>K42*L42*R42/4.4482216153</x:f>
        <x:v>292.32545932199076</x:v>
      </x:c>
      <x:c r="W42" s="16" t="n">
        <x:f>K42*L42*S42/4.4482216153</x:f>
        <x:v>316.4534957643059</x:v>
      </x:c>
      <x:c r="X42" s="16" t="n">
        <x:f>K42*L42*T42/4.4482216153</x:f>
        <x:v>0</x:v>
      </x:c>
      <x:c r="Y42" s="16" t="n">
        <x:f>SUM(V42:X42)</x:f>
        <x:v>608.7789550862967</x:v>
      </x:c>
      <x:c r="Z42" s="9" t="n">
        <x:f>V42/Y42</x:f>
        <x:v>0.48018325351038543</x:v>
      </x:c>
      <x:c r="AA42" s="9" t="n">
        <x:f>W42/Y42</x:f>
        <x:v>0.5198167464896145</x:v>
      </x:c>
      <x:c r="AB42" s="13" t="n">
        <x:f>G42/Y42</x:f>
        <x:v>15.17792282864015</x:v>
      </x:c>
      <x:c r="AC42" s="11" t="n">
        <x:f>'Assumptions'!$C$10</x:f>
        <x:v>0.8</x:v>
      </x:c>
      <x:c r="AD42" s="16" t="n">
        <x:f>F42</x:f>
        <x:v>1390</x:v>
      </x:c>
      <x:c r="AE42" s="16" t="n">
        <x:f>AD42*AC42</x:f>
        <x:v>1112</x:v>
      </x:c>
      <x:c r="AF42" s="16" t="n">
        <x:f>Y42*4.4482216153*(C42*0.44704)/745.6998716</x:f>
        <x:v>405.8526367181522</x:v>
      </x:c>
      <x:c r="AG42" s="16" t="n">
        <x:f>AF42/AC42</x:f>
        <x:v>507.31579589769024</x:v>
      </x:c>
      <x:c r="AH42" s="16" t="n">
        <x:f>AE42-AF42</x:f>
        <x:v>706.1473632818478</x:v>
      </x:c>
      <x:c r="AI42" s="16" t="n">
        <x:f>AH42*745.6998716/(G42*4.4482216153)</x:f>
        <x:v>12.811530734018652</x:v>
      </x:c>
      <x:c r="AJ42" s="16" t="n">
        <x:f>AI42*196.8503937</x:f>
        <x:v>2521.954868891222</x:v>
      </x:c>
      <x:c r="AK42" s="16" t="n">
        <x:f>AH42*745.6998716/(G42*0.45359237*C42*0.44704)</x:f>
        <x:v>1.1241785779695748</x:v>
      </x:c>
      <x:c r="AL42" s="16" t="n">
        <x:f>SQRT(2*G42*4.4482216153/(1.225*L42*'Assumptions'!$C$11))/0.44704</x:f>
        <x:v>98.46385799361909</x:v>
      </x:c>
      <x:c r="AM42" s="16" t="n">
        <x:f>MIN('Assumptions'!$C$12,'Assumptions'!$C$11*K42*L42/(G42*4.4482216153))</x:f>
        <x:v>3.1636954472076915</x:v>
      </x:c>
      <x:c r="AN42" s="16" t="n">
        <x:f>IF(AE42*745.6998716/(C42*0.44704)-(V42+X42)*4.4482216153&lt;W42*4.4482216153,"n.a.",MIN(AM42,SQRT((AE42*745.6998716/(C42*0.44704)-(V42+X42)*4.4482216153)/(W42*4.4482216153))))</x:f>
        <x:v>2.0849848383404646</x:v>
      </x:c>
      <x:c r="AO42" s="16" t="n">
        <x:f>IF(AM42&gt;1,9.80665*SQRT(AM42^2-1)/(C42*0.44704)*180/PI(),"n.a.")</x:f>
        <x:v>15.090181324201088</x:v>
      </x:c>
      <x:c r="AP42" s="16" t="n">
        <x:f>IF(ISNUMBER(AN42),IF(AN42&gt;1,9.80665*SQRT(AN42^2-1)/(C42*0.44704)*180/PI(),"n.a."),"n.a.")</x:f>
        <x:v>9.198039421010085</x:v>
      </x:c>
      <x:c r="AQ42" s="16" t="n">
        <x:f>IF(AM42&gt;1,(C42*0.44704)^2/(9.80665*SQRT(AM42^2-1)),"n.a.")</x:f>
        <x:v>424.34058152187856</x:v>
      </x:c>
      <x:c r="AR42" s="16" t="n">
        <x:f>IF(ISNUMBER(AN42),IF(AN42&gt;1,(C42*0.44704)^2/(9.80665*SQRT(AN42^2-1)),"n.a."),"n.a.")</x:f>
        <x:v>696.1675228044297</x:v>
      </x:c>
      <x:c r="AS42" s="6" t="str">
        <x:f>IF(I42&gt;=AL42,"Within modeled CLmax","Below modeled stall")</x:f>
        <x:v>Within modeled CLmax</x:v>
      </x:c>
      <x:c r="AT42" s="6" t="str">
        <x:v>D: aero and eta estimated</x:v>
      </x:c>
      <x:c r="AU42" s="6" t="str">
        <x:v>Fixed BHP node snapshot; no source-backed 6G/CLmax/eta map</x:v>
      </x:c>
    </x:row>
    <x:row r="43">
      <x:c r="B43" s="10" t="n">
        <x:v>22400</x:v>
      </x:c>
      <x:c r="C43" s="10" t="n">
        <x:v>280</x:v>
      </x:c>
      <x:c r="D43" s="6" t="str">
        <x:v>67inHg</x:v>
      </x:c>
      <x:c r="E43" s="6" t="str">
        <x:v>high</x:v>
      </x:c>
      <x:c r="F43" s="6" t="n">
        <x:v>1390</x:v>
      </x:c>
      <x:c r="G43" s="6" t="n">
        <x:f>'Assumptions'!$C$5</x:f>
        <x:v>9240</x:v>
      </x:c>
      <x:c r="H43" s="11" t="n">
        <x:f>(101325*((288.15-0.0065*B43*0.3048)/288.15)^5.2558797)/(287.05287*(288.15-0.0065*B43*0.3048))</x:f>
        <x:v>0.6011798798977509</x:v>
      </x:c>
      <x:c r="I43" s="11" t="n">
        <x:f>C43*SQRT(H43/1.225)</x:f>
        <x:v>196.1517583746219</x:v>
      </x:c>
      <x:c r="J43" s="11" t="n">
        <x:f>C43*0.44704/SQRT(1.4*287.05287*(288.15-0.0065*B43*0.3048))</x:f>
        <x:v>0.399915581017153</x:v>
      </x:c>
      <x:c r="K43" s="12" t="n">
        <x:f>0.5*H43*(C43*0.44704)^2</x:f>
        <x:v>4709.5918712538005</x:v>
      </x:c>
      <x:c r="L43" s="11" t="n">
        <x:f>'Assumptions'!$C$6*0.09290304</x:f>
        <x:v>21.646408320000003</x:v>
      </x:c>
      <x:c r="M43" s="11" t="n">
        <x:f>('Assumptions'!$C$7*0.3048)^2/L43</x:f>
        <x:v>5.875536480686696</x:v>
      </x:c>
      <x:c r="N43" s="11" t="n">
        <x:f>1/(PI()*M43*'Assumptions'!$C$9)</x:f>
        <x:v>0.06771932385027686</x:v>
      </x:c>
      <x:c r="O43" s="13" t="n">
        <x:f>G43/'Assumptions'!$C$6</x:f>
        <x:v>39.65665236051502</x:v>
      </x:c>
      <x:c r="P43" s="14" t="n">
        <x:f>F43/G43</x:f>
        <x:v>0.15043290043290045</x:v>
      </x:c>
      <x:c r="Q43" s="15" t="n">
        <x:f>G43*4.4482216153/(K43*L43)</x:f>
        <x:v>0.4031709832270393</x:v>
      </x:c>
      <x:c r="R43" s="15" t="n">
        <x:f>'Assumptions'!$C$8+'Assumptions'!$C$13</x:f>
        <x:v>0.016</x:v>
      </x:c>
      <x:c r="S43" s="15" t="n">
        <x:f>N43*Q43^2</x:f>
        <x:v>0.01100756221502294</x:v>
      </x:c>
      <x:c r="T43" s="15" t="n">
        <x:f>'Assumptions'!$C$14</x:f>
        <x:v>0</x:v>
      </x:c>
      <x:c r="U43" s="15" t="n">
        <x:f>SUM(R43:T43)</x:f>
        <x:v>0.027007562215022943</x:v>
      </x:c>
      <x:c r="V43" s="16" t="n">
        <x:f>K43*L43*R43/4.4482216153</x:f>
        <x:v>366.6930561735051</x:v>
      </x:c>
      <x:c r="W43" s="16" t="n">
        <x:f>K43*L43*S43/4.4482216153</x:f>
        <x:v>252.27478935292243</x:v>
      </x:c>
      <x:c r="X43" s="16" t="n">
        <x:f>K43*L43*T43/4.4482216153</x:f>
        <x:v>0</x:v>
      </x:c>
      <x:c r="Y43" s="16" t="n">
        <x:f>SUM(V43:X43)</x:f>
        <x:v>618.9678455264275</x:v>
      </x:c>
      <x:c r="Z43" s="9" t="n">
        <x:f>V43/Y43</x:f>
        <x:v>0.5924266645250941</x:v>
      </x:c>
      <x:c r="AA43" s="9" t="n">
        <x:f>W43/Y43</x:f>
        <x:v>0.407573335474906</x:v>
      </x:c>
      <x:c r="AB43" s="13" t="n">
        <x:f>G43/Y43</x:f>
        <x:v>14.928077551656095</x:v>
      </x:c>
      <x:c r="AC43" s="11" t="n">
        <x:f>'Assumptions'!$C$10</x:f>
        <x:v>0.8</x:v>
      </x:c>
      <x:c r="AD43" s="16" t="n">
        <x:f>F43</x:f>
        <x:v>1390</x:v>
      </x:c>
      <x:c r="AE43" s="16" t="n">
        <x:f>AD43*AC43</x:f>
        <x:v>1112</x:v>
      </x:c>
      <x:c r="AF43" s="16" t="n">
        <x:f>Y43*4.4482216153*(C43*0.44704)/745.6998716</x:f>
        <x:v>462.1626579861814</x:v>
      </x:c>
      <x:c r="AG43" s="16" t="n">
        <x:f>AF43/AC43</x:f>
        <x:v>577.7033224827267</x:v>
      </x:c>
      <x:c r="AH43" s="16" t="n">
        <x:f>AE43-AF43</x:f>
        <x:v>649.8373420138187</x:v>
      </x:c>
      <x:c r="AI43" s="16" t="n">
        <x:f>AH43*745.6998716/(G43*4.4482216153)</x:f>
        <x:v>11.789906062426335</x:v>
      </x:c>
      <x:c r="AJ43" s="16" t="n">
        <x:f>AI43*196.8503937</x:f>
        <x:v>2320.847650074641</x:v>
      </x:c>
      <x:c r="AK43" s="16" t="n">
        <x:f>AH43*745.6998716/(G43*0.45359237*C43*0.44704)</x:f>
        <x:v>0.9236907714244162</x:v>
      </x:c>
      <x:c r="AL43" s="16" t="n">
        <x:f>SQRT(2*G43*4.4482216153/(1.225*L43*'Assumptions'!$C$11))/0.44704</x:f>
        <x:v>98.46385799361909</x:v>
      </x:c>
      <x:c r="AM43" s="16" t="n">
        <x:f>MIN('Assumptions'!$C$12,'Assumptions'!$C$11*K43*L43/(G43*4.4482216153))</x:f>
        <x:v>3.968539568977328</x:v>
      </x:c>
      <x:c r="AN43" s="16" t="n">
        <x:f>IF(AE43*745.6998716/(C43*0.44704)-(V43+X43)*4.4482216153&lt;W43*4.4482216153,"n.a.",MIN(AM43,SQRT((AE43*745.6998716/(C43*0.44704)-(V43+X43)*4.4482216153)/(W43*4.4482216153))))</x:f>
        <x:v>2.1094739793798705</x:v>
      </x:c>
      <x:c r="AO43" s="16" t="n">
        <x:f>IF(AM43&gt;1,9.80665*SQRT(AM43^2-1)/(C43*0.44704)*180/PI(),"n.a.")</x:f>
        <x:v>17.239500951842373</x:v>
      </x:c>
      <x:c r="AP43" s="16" t="n">
        <x:f>IF(ISNUMBER(AN43),IF(AN43&gt;1,9.80665*SQRT(AN43^2-1)/(C43*0.44704)*180/PI(),"n.a."),"n.a.")</x:f>
        <x:v>8.33759732011862</x:v>
      </x:c>
      <x:c r="AQ43" s="16" t="n">
        <x:f>IF(AM43&gt;1,(C43*0.44704)^2/(9.80665*SQRT(AM43^2-1)),"n.a.")</x:f>
        <x:v>416.00864761816007</x:v>
      </x:c>
      <x:c r="AR43" s="16" t="n">
        <x:f>IF(ISNUMBER(AN43),IF(AN43&gt;1,(C43*0.44704)^2/(9.80665*SQRT(AN43^2-1)),"n.a."),"n.a.")</x:f>
        <x:v>860.1736449039611</x:v>
      </x:c>
      <x:c r="AS43" s="6" t="str">
        <x:f>IF(I43&gt;=AL43,"Within modeled CLmax","Below modeled stall")</x:f>
        <x:v>Within modeled CLmax</x:v>
      </x:c>
      <x:c r="AT43" s="6" t="str">
        <x:v>D: aero and eta estimated</x:v>
      </x:c>
      <x:c r="AU43" s="6" t="str">
        <x:v>Fixed BHP node snapshot; no source-backed 6G/CLmax/eta map</x:v>
      </x:c>
    </x:row>
    <x:row r="44">
      <x:c r="B44" s="10" t="n">
        <x:v>22400</x:v>
      </x:c>
      <x:c r="C44" s="10" t="n">
        <x:v>310</x:v>
      </x:c>
      <x:c r="D44" s="6" t="str">
        <x:v>67inHg</x:v>
      </x:c>
      <x:c r="E44" s="6" t="str">
        <x:v>high</x:v>
      </x:c>
      <x:c r="F44" s="6" t="n">
        <x:v>1390</x:v>
      </x:c>
      <x:c r="G44" s="6" t="n">
        <x:f>'Assumptions'!$C$5</x:f>
        <x:v>9240</x:v>
      </x:c>
      <x:c r="H44" s="11" t="n">
        <x:f>(101325*((288.15-0.0065*B44*0.3048)/288.15)^5.2558797)/(287.05287*(288.15-0.0065*B44*0.3048))</x:f>
        <x:v>0.6011798798977509</x:v>
      </x:c>
      <x:c r="I44" s="11" t="n">
        <x:f>C44*SQRT(H44/1.225)</x:f>
        <x:v>217.16801820047425</x:v>
      </x:c>
      <x:c r="J44" s="11" t="n">
        <x:f>C44*0.44704/SQRT(1.4*287.05287*(288.15-0.0065*B44*0.3048))</x:f>
        <x:v>0.44276367898327657</x:v>
      </x:c>
      <x:c r="K44" s="12" t="n">
        <x:f>0.5*H44*(C44*0.44704)^2</x:f>
        <x:v>5772.854321779212</x:v>
      </x:c>
      <x:c r="L44" s="11" t="n">
        <x:f>'Assumptions'!$C$6*0.09290304</x:f>
        <x:v>21.646408320000003</x:v>
      </x:c>
      <x:c r="M44" s="11" t="n">
        <x:f>('Assumptions'!$C$7*0.3048)^2/L44</x:f>
        <x:v>5.875536480686696</x:v>
      </x:c>
      <x:c r="N44" s="11" t="n">
        <x:f>1/(PI()*M44*'Assumptions'!$C$9)</x:f>
        <x:v>0.06771932385027686</x:v>
      </x:c>
      <x:c r="O44" s="13" t="n">
        <x:f>G44/'Assumptions'!$C$6</x:f>
        <x:v>39.65665236051502</x:v>
      </x:c>
      <x:c r="P44" s="14" t="n">
        <x:f>F44/G44</x:f>
        <x:v>0.15043290043290045</x:v>
      </x:c>
      <x:c r="Q44" s="15" t="n">
        <x:f>G44*4.4482216153/(K44*L44)</x:f>
        <x:v>0.32891368454734526</x:v>
      </x:c>
      <x:c r="R44" s="15" t="n">
        <x:f>'Assumptions'!$C$8+'Assumptions'!$C$13</x:f>
        <x:v>0.016</x:v>
      </x:c>
      <x:c r="S44" s="15" t="n">
        <x:f>N44*Q44^2</x:f>
        <x:v>0.0073261616799587025</x:v>
      </x:c>
      <x:c r="T44" s="15" t="n">
        <x:f>'Assumptions'!$C$14</x:f>
        <x:v>0</x:v>
      </x:c>
      <x:c r="U44" s="15" t="n">
        <x:f>SUM(R44:T44)</x:f>
        <x:v>0.023326161679958702</x:v>
      </x:c>
      <x:c r="V44" s="16" t="n">
        <x:f>K44*L44*R44/4.4482216153</x:f>
        <x:v>449.4796262534929</x:v>
      </x:c>
      <x:c r="W44" s="16" t="n">
        <x:f>K44*L44*S44/4.4482216153</x:f>
        <x:v>205.8100258612812</x:v>
      </x:c>
      <x:c r="X44" s="16" t="n">
        <x:f>K44*L44*T44/4.4482216153</x:f>
        <x:v>0</x:v>
      </x:c>
      <x:c r="Y44" s="16" t="n">
        <x:f>SUM(V44:X44)</x:f>
        <x:v>655.2896521147741</x:v>
      </x:c>
      <x:c r="Z44" s="9" t="n">
        <x:f>V44/Y44</x:f>
        <x:v>0.6859251093053526</x:v>
      </x:c>
      <x:c r="AA44" s="9" t="n">
        <x:f>W44/Y44</x:f>
        <x:v>0.3140748906946474</x:v>
      </x:c>
      <x:c r="AB44" s="13" t="n">
        <x:f>G44/Y44</x:f>
        <x:v>14.100634689072754</x:v>
      </x:c>
      <x:c r="AC44" s="11" t="n">
        <x:f>'Assumptions'!$C$10</x:f>
        <x:v>0.8</x:v>
      </x:c>
      <x:c r="AD44" s="16" t="n">
        <x:f>F44</x:f>
        <x:v>1390</x:v>
      </x:c>
      <x:c r="AE44" s="16" t="n">
        <x:f>AD44*AC44</x:f>
        <x:v>1112</x:v>
      </x:c>
      <x:c r="AF44" s="16" t="n">
        <x:f>Y44*4.4482216153*(C44*0.44704)/745.6998716</x:f>
        <x:v>541.7061124068106</x:v>
      </x:c>
      <x:c r="AG44" s="16" t="n">
        <x:f>AF44/AC44</x:f>
        <x:v>677.1326405085132</x:v>
      </x:c>
      <x:c r="AH44" s="16" t="n">
        <x:f>AE44-AF44</x:f>
        <x:v>570.2938875931894</x:v>
      </x:c>
      <x:c r="AI44" s="16" t="n">
        <x:f>AH44*745.6998716/(G44*4.4482216153)</x:f>
        <x:v>10.346760532201992</x:v>
      </x:c>
      <x:c r="AJ44" s="16" t="n">
        <x:f>AI44*196.8503937</x:f>
        <x:v>2036.7638842835838</x:v>
      </x:c>
      <x:c r="AK44" s="16" t="n">
        <x:f>AH44*745.6998716/(G44*0.45359237*C44*0.44704)</x:f>
        <x:v>0.7321785390786975</x:v>
      </x:c>
      <x:c r="AL44" s="16" t="n">
        <x:f>SQRT(2*G44*4.4482216153/(1.225*L44*'Assumptions'!$C$11))/0.44704</x:f>
        <x:v>98.46385799361909</x:v>
      </x:c>
      <x:c r="AM44" s="16" t="n">
        <x:f>MIN('Assumptions'!$C$12,'Assumptions'!$C$11*K44*L44/(G44*4.4482216153))</x:f>
        <x:v>4.864498119626546</x:v>
      </x:c>
      <x:c r="AN44" s="16" t="n">
        <x:f>IF(AE44*745.6998716/(C44*0.44704)-(V44+X44)*4.4482216153&lt;W44*4.4482216153,"n.a.",MIN(AM44,SQRT((AE44*745.6998716/(C44*0.44704)-(V44+X44)*4.4482216153)/(W44*4.4482216153))))</x:f>
        <x:v>2.086140614003027</x:v>
      </x:c>
      <x:c r="AO44" s="16" t="n">
        <x:f>IF(AM44&gt;1,9.80665*SQRT(AM44^2-1)/(C44*0.44704)*180/PI(),"n.a.")</x:f>
        <x:v>19.301773079985615</x:v>
      </x:c>
      <x:c r="AP44" s="16" t="n">
        <x:f>IF(ISNUMBER(AN44),IF(AN44&gt;1,9.80665*SQRT(AN44^2-1)/(C44*0.44704)*180/PI(),"n.a."),"n.a.")</x:f>
        <x:v>7.423113679029545</x:v>
      </x:c>
      <x:c r="AQ44" s="16" t="n">
        <x:f>IF(AM44&gt;1,(C44*0.44704)^2/(9.80665*SQRT(AM44^2-1)),"n.a.")</x:f>
        <x:v>411.3708415226948</x:v>
      </x:c>
      <x:c r="AR44" s="16" t="n">
        <x:f>IF(ISNUMBER(AN44),IF(AN44&gt;1,(C44*0.44704)^2/(9.80665*SQRT(AN44^2-1)),"n.a."),"n.a.")</x:f>
        <x:v>1069.657151718554</x:v>
      </x:c>
      <x:c r="AS44" s="6" t="str">
        <x:f>IF(I44&gt;=AL44,"Within modeled CLmax","Below modeled stall")</x:f>
        <x:v>Within modeled CLmax</x:v>
      </x:c>
      <x:c r="AT44" s="6" t="str">
        <x:v>D: aero and eta estimated</x:v>
      </x:c>
      <x:c r="AU44" s="6" t="str">
        <x:v>Fixed BHP node snapshot; no source-backed 6G/CLmax/eta map</x:v>
      </x:c>
    </x:row>
    <x:row r="45">
      <x:c r="B45" s="10" t="n">
        <x:v>22400</x:v>
      </x:c>
      <x:c r="C45" s="10" t="n">
        <x:v>340</x:v>
      </x:c>
      <x:c r="D45" s="6" t="str">
        <x:v>67inHg</x:v>
      </x:c>
      <x:c r="E45" s="6" t="str">
        <x:v>high</x:v>
      </x:c>
      <x:c r="F45" s="6" t="n">
        <x:v>1390</x:v>
      </x:c>
      <x:c r="G45" s="6" t="n">
        <x:f>'Assumptions'!$C$5</x:f>
        <x:v>9240</x:v>
      </x:c>
      <x:c r="H45" s="11" t="n">
        <x:f>(101325*((288.15-0.0065*B45*0.3048)/288.15)^5.2558797)/(287.05287*(288.15-0.0065*B45*0.3048))</x:f>
        <x:v>0.6011798798977509</x:v>
      </x:c>
      <x:c r="I45" s="11" t="n">
        <x:f>C45*SQRT(H45/1.225)</x:f>
        <x:v>238.1842780263266</x:v>
      </x:c>
      <x:c r="J45" s="11" t="n">
        <x:f>C45*0.44704/SQRT(1.4*287.05287*(288.15-0.0065*B45*0.3048))</x:f>
        <x:v>0.48561177694940005</x:v>
      </x:c>
      <x:c r="K45" s="12" t="n">
        <x:f>0.5*H45*(C45*0.44704)^2</x:f>
        <x:v>6944.245157103817</x:v>
      </x:c>
      <x:c r="L45" s="11" t="n">
        <x:f>'Assumptions'!$C$6*0.09290304</x:f>
        <x:v>21.646408320000003</x:v>
      </x:c>
      <x:c r="M45" s="11" t="n">
        <x:f>('Assumptions'!$C$7*0.3048)^2/L45</x:f>
        <x:v>5.875536480686696</x:v>
      </x:c>
      <x:c r="N45" s="11" t="n">
        <x:f>1/(PI()*M45*'Assumptions'!$C$9)</x:f>
        <x:v>0.06771932385027686</x:v>
      </x:c>
      <x:c r="O45" s="13" t="n">
        <x:f>G45/'Assumptions'!$C$6</x:f>
        <x:v>39.65665236051502</x:v>
      </x:c>
      <x:c r="P45" s="14" t="n">
        <x:f>F45/G45</x:f>
        <x:v>0.15043290043290045</x:v>
      </x:c>
      <x:c r="Q45" s="15" t="n">
        <x:f>G45*4.4482216153/(K45*L45)</x:f>
        <x:v>0.27343083983563915</x:v>
      </x:c>
      <x:c r="R45" s="15" t="n">
        <x:f>'Assumptions'!$C$8+'Assumptions'!$C$13</x:f>
        <x:v>0.016</x:v>
      </x:c>
      <x:c r="S45" s="15" t="n">
        <x:f>N45*Q45^2</x:f>
        <x:v>0.005062996253065953</x:v>
      </x:c>
      <x:c r="T45" s="15" t="n">
        <x:f>'Assumptions'!$C$14</x:f>
        <x:v>0</x:v>
      </x:c>
      <x:c r="U45" s="15" t="n">
        <x:f>SUM(R45:T45)</x:f>
        <x:v>0.021062996253065954</x:v>
      </x:c>
      <x:c r="V45" s="16" t="n">
        <x:f>K45*L45*R45/4.4482216153</x:f>
        <x:v>540.6851695619539</x:v>
      </x:c>
      <x:c r="W45" s="16" t="n">
        <x:f>K45*L45*S45/4.4482216153</x:f>
        <x:v>171.09293672378135</x:v>
      </x:c>
      <x:c r="X45" s="16" t="n">
        <x:f>K45*L45*T45/4.4482216153</x:f>
        <x:v>0</x:v>
      </x:c>
      <x:c r="Y45" s="16" t="n">
        <x:f>SUM(V45:X45)</x:f>
        <x:v>711.7781062857352</x:v>
      </x:c>
      <x:c r="Z45" s="9" t="n">
        <x:f>V45/Y45</x:f>
        <x:v>0.7596260193832121</x:v>
      </x:c>
      <x:c r="AA45" s="9" t="n">
        <x:f>W45/Y45</x:f>
        <x:v>0.24037398061678794</x:v>
      </x:c>
      <x:c r="AB45" s="13" t="n">
        <x:f>G45/Y45</x:f>
        <x:v>12.981573777559698</x:v>
      </x:c>
      <x:c r="AC45" s="11" t="n">
        <x:f>'Assumptions'!$C$10</x:f>
        <x:v>0.8</x:v>
      </x:c>
      <x:c r="AD45" s="16" t="n">
        <x:f>F45</x:f>
        <x:v>1390</x:v>
      </x:c>
      <x:c r="AE45" s="16" t="n">
        <x:f>AD45*AC45</x:f>
        <x:v>1112</x:v>
      </x:c>
      <x:c r="AF45" s="16" t="n">
        <x:f>Y45*4.4482216153*(C45*0.44704)/745.6998716</x:f>
        <x:v>645.3454830227867</x:v>
      </x:c>
      <x:c r="AG45" s="16" t="n">
        <x:f>AF45/AC45</x:f>
        <x:v>806.6818537784833</x:v>
      </x:c>
      <x:c r="AH45" s="16" t="n">
        <x:f>AE45-AF45</x:f>
        <x:v>466.65451697721335</x:v>
      </x:c>
      <x:c r="AI45" s="16" t="n">
        <x:f>AH45*745.6998716/(G45*4.4482216153)</x:f>
        <x:v>8.466446236712702</x:v>
      </x:c>
      <x:c r="AJ45" s="16" t="n">
        <x:f>AI45*196.8503937</x:f>
        <x:v>1666.623274936779</x:v>
      </x:c>
      <x:c r="AK45" s="16" t="n">
        <x:f>AH45*745.6998716/(G45*0.45359237*C45*0.44704)</x:f>
        <x:v>0.5462563883479035</x:v>
      </x:c>
      <x:c r="AL45" s="16" t="n">
        <x:f>SQRT(2*G45*4.4482216153/(1.225*L45*'Assumptions'!$C$11))/0.44704</x:f>
        <x:v>98.46385799361909</x:v>
      </x:c>
      <x:c r="AM45" s="16" t="n">
        <x:f>MIN('Assumptions'!$C$12,'Assumptions'!$C$11*K45*L45/(G45*4.4482216153))</x:f>
        <x:v>5.851571099155346</x:v>
      </x:c>
      <x:c r="AN45" s="16" t="n">
        <x:f>IF(AE45*745.6998716/(C45*0.44704)-(V45+X45)*4.4482216153&lt;W45*4.4482216153,"n.a.",MIN(AM45,SQRT((AE45*745.6998716/(C45*0.44704)-(V45+X45)*4.4482216153)/(W45*4.4482216153))))</x:f>
        <x:v>2.002064583347427</x:v>
      </x:c>
      <x:c r="AO45" s="16" t="n">
        <x:f>IF(AM45&gt;1,9.80665*SQRT(AM45^2-1)/(C45*0.44704)*180/PI(),"n.a.")</x:f>
        <x:v>21.313476332425562</x:v>
      </x:c>
      <x:c r="AP45" s="16" t="n">
        <x:f>IF(ISNUMBER(AN45),IF(AN45&gt;1,9.80665*SQRT(AN45^2-1)/(C45*0.44704)*180/PI(),"n.a."),"n.a.")</x:f>
        <x:v>6.411739635116455</x:v>
      </x:c>
      <x:c r="AQ45" s="16" t="n">
        <x:f>IF(AM45&gt;1,(C45*0.44704)^2/(9.80665*SQRT(AM45^2-1)),"n.a.")</x:f>
        <x:v>408.5955597844303</x:v>
      </x:c>
      <x:c r="AR45" s="16" t="n">
        <x:f>IF(ISNUMBER(AN45),IF(AN45&gt;1,(C45*0.44704)^2/(9.80665*SQRT(AN45^2-1)),"n.a."),"n.a.")</x:f>
        <x:v>1358.2260491838354</x:v>
      </x:c>
      <x:c r="AS45" s="6" t="str">
        <x:f>IF(I45&gt;=AL45,"Within modeled CLmax","Below modeled stall")</x:f>
        <x:v>Within modeled CLmax</x:v>
      </x:c>
      <x:c r="AT45" s="6" t="str">
        <x:v>D: aero and eta estimated</x:v>
      </x:c>
      <x:c r="AU45" s="6" t="str">
        <x:v>Fixed BHP node snapshot; no source-backed 6G/CLmax/eta map</x:v>
      </x:c>
    </x:row>
    <x:row r="46">
      <x:c r="B46" s="10" t="n">
        <x:v>22400</x:v>
      </x:c>
      <x:c r="C46" s="10" t="n">
        <x:v>370</x:v>
      </x:c>
      <x:c r="D46" s="6" t="str">
        <x:v>67inHg</x:v>
      </x:c>
      <x:c r="E46" s="6" t="str">
        <x:v>high</x:v>
      </x:c>
      <x:c r="F46" s="6" t="n">
        <x:v>1390</x:v>
      </x:c>
      <x:c r="G46" s="6" t="n">
        <x:f>'Assumptions'!$C$5</x:f>
        <x:v>9240</x:v>
      </x:c>
      <x:c r="H46" s="11" t="n">
        <x:f>(101325*((288.15-0.0065*B46*0.3048)/288.15)^5.2558797)/(287.05287*(288.15-0.0065*B46*0.3048))</x:f>
        <x:v>0.6011798798977509</x:v>
      </x:c>
      <x:c r="I46" s="11" t="n">
        <x:f>C46*SQRT(H46/1.225)</x:f>
        <x:v>259.20053785217897</x:v>
      </x:c>
      <x:c r="J46" s="11" t="n">
        <x:f>C46*0.44704/SQRT(1.4*287.05287*(288.15-0.0065*B46*0.3048))</x:f>
        <x:v>0.5284598749155236</x:v>
      </x:c>
      <x:c r="K46" s="12" t="n">
        <x:f>0.5*H46*(C46*0.44704)^2</x:f>
        <x:v>8223.764377227617</x:v>
      </x:c>
      <x:c r="L46" s="11" t="n">
        <x:f>'Assumptions'!$C$6*0.09290304</x:f>
        <x:v>21.646408320000003</x:v>
      </x:c>
      <x:c r="M46" s="11" t="n">
        <x:f>('Assumptions'!$C$7*0.3048)^2/L46</x:f>
        <x:v>5.875536480686696</x:v>
      </x:c>
      <x:c r="N46" s="11" t="n">
        <x:f>1/(PI()*M46*'Assumptions'!$C$9)</x:f>
        <x:v>0.06771932385027686</x:v>
      </x:c>
      <x:c r="O46" s="13" t="n">
        <x:f>G46/'Assumptions'!$C$6</x:f>
        <x:v>39.65665236051502</x:v>
      </x:c>
      <x:c r="P46" s="14" t="n">
        <x:f>F46/G46</x:f>
        <x:v>0.15043290043290045</x:v>
      </x:c>
      <x:c r="Q46" s="15" t="n">
        <x:f>G46*4.4482216153/(K46*L46)</x:f>
        <x:v>0.23088827673484213</x:v>
      </x:c>
      <x:c r="R46" s="15" t="n">
        <x:f>'Assumptions'!$C$8+'Assumptions'!$C$13</x:f>
        <x:v>0.016</x:v>
      </x:c>
      <x:c r="S46" s="15" t="n">
        <x:f>N46*Q46^2</x:f>
        <x:v>0.0036100762745768073</x:v>
      </x:c>
      <x:c r="T46" s="15" t="n">
        <x:f>'Assumptions'!$C$14</x:f>
        <x:v>0</x:v>
      </x:c>
      <x:c r="U46" s="15" t="n">
        <x:f>SUM(R46:T46)</x:f>
        <x:v>0.019610076274576806</x:v>
      </x:c>
      <x:c r="V46" s="16" t="n">
        <x:f>K46*L46*R46/4.4482216153</x:f>
        <x:v>640.3096860988883</x:v>
      </x:c>
      <x:c r="W46" s="16" t="n">
        <x:f>K46*L46*S46/4.4482216153</x:f>
        <x:v>144.47292538545747</x:v>
      </x:c>
      <x:c r="X46" s="16" t="n">
        <x:f>K46*L46*T46/4.4482216153</x:f>
        <x:v>0</x:v>
      </x:c>
      <x:c r="Y46" s="16" t="n">
        <x:f>SUM(V46:X46)</x:f>
        <x:v>784.7826114843458</x:v>
      </x:c>
      <x:c r="Z46" s="9" t="n">
        <x:f>V46/Y46</x:f>
        <x:v>0.8159070763402875</x:v>
      </x:c>
      <x:c r="AA46" s="9" t="n">
        <x:f>W46/Y46</x:f>
        <x:v>0.18409292365971247</x:v>
      </x:c>
      <x:c r="AB46" s="13" t="n">
        <x:f>G46/Y46</x:f>
        <x:v>11.773961176998265</x:v>
      </x:c>
      <x:c r="AC46" s="11" t="n">
        <x:f>'Assumptions'!$C$10</x:f>
        <x:v>0.8</x:v>
      </x:c>
      <x:c r="AD46" s="16" t="n">
        <x:f>F46</x:f>
        <x:v>1390</x:v>
      </x:c>
      <x:c r="AE46" s="16" t="n">
        <x:f>AD46*AC46</x:f>
        <x:v>1112</x:v>
      </x:c>
      <x:c r="AF46" s="16" t="n">
        <x:f>Y46*4.4482216153*(C46*0.44704)/745.6998716</x:f>
        <x:v>774.3188433196868</x:v>
      </x:c>
      <x:c r="AG46" s="16" t="n">
        <x:f>AF46/AC46</x:f>
        <x:v>967.8985541496085</x:v>
      </x:c>
      <x:c r="AH46" s="16" t="n">
        <x:f>AE46-AF46</x:f>
        <x:v>337.68115668031317</x:v>
      </x:c>
      <x:c r="AI46" s="16" t="n">
        <x:f>AH46*745.6998716/(G46*4.4482216153)</x:f>
        <x:v>6.126500985576943</x:v>
      </x:c>
      <x:c r="AJ46" s="16" t="n">
        <x:f>AI46*196.8503937</x:f>
        <x:v>1206.0041310142592</x:v>
      </x:c>
      <x:c r="AK46" s="16" t="n">
        <x:f>AH46*745.6998716/(G46*0.45359237*C46*0.44704)</x:f>
        <x:v>0.3632328136229519</x:v>
      </x:c>
      <x:c r="AL46" s="16" t="n">
        <x:f>SQRT(2*G46*4.4482216153/(1.225*L46*'Assumptions'!$C$11))/0.44704</x:f>
        <x:v>98.46385799361909</x:v>
      </x:c>
      <x:c r="AM46" s="16" t="n">
        <x:f>MIN('Assumptions'!$C$12,'Assumptions'!$C$11*K46*L46/(G46*4.4482216153))</x:f>
        <x:v>6</x:v>
      </x:c>
      <x:c r="AN46" s="16" t="n">
        <x:f>IF(AE46*745.6998716/(C46*0.44704)-(V46+X46)*4.4482216153&lt;W46*4.4482216153,"n.a.",MIN(AM46,SQRT((AE46*745.6998716/(C46*0.44704)-(V46+X46)*4.4482216153)/(W46*4.4482216153))))</x:f>
        <x:v>1.8354610653382726</x:v>
      </x:c>
      <x:c r="AO46" s="16" t="n">
        <x:f>IF(AM46&gt;1,9.80665*SQRT(AM46^2-1)/(C46*0.44704)*180/PI(),"n.a.")</x:f>
        <x:v>20.09690694801352</x:v>
      </x:c>
      <x:c r="AP46" s="16" t="n">
        <x:f>IF(ISNUMBER(AN46),IF(AN46&gt;1,9.80665*SQRT(AN46^2-1)/(C46*0.44704)*180/PI(),"n.a."),"n.a.")</x:f>
        <x:v>5.22841619630125</x:v>
      </x:c>
      <x:c r="AQ46" s="16" t="n">
        <x:f>IF(AM46&gt;1,(C46*0.44704)^2/(9.80665*SQRT(AM46^2-1)),"n.a.")</x:f>
        <x:v>471.56495154804065</x:v>
      </x:c>
      <x:c r="AR46" s="16" t="n">
        <x:f>IF(ISNUMBER(AN46),IF(AN46&gt;1,(C46*0.44704)^2/(9.80665*SQRT(AN46^2-1)),"n.a."),"n.a.")</x:f>
        <x:v>1812.5942150339547</x:v>
      </x:c>
      <x:c r="AS46" s="6" t="str">
        <x:f>IF(I46&gt;=AL46,"Within modeled CLmax","Below modeled stall")</x:f>
        <x:v>Within modeled CLmax</x:v>
      </x:c>
      <x:c r="AT46" s="6" t="str">
        <x:v>D: aero and eta estimated</x:v>
      </x:c>
      <x:c r="AU46" s="6" t="str">
        <x:v>Fixed BHP node snapshot; no source-backed 6G/CLmax/eta map</x:v>
      </x:c>
    </x:row>
    <x:row r="47">
      <x:c r="B47" s="10" t="n">
        <x:v>22400</x:v>
      </x:c>
      <x:c r="C47" s="10" t="n">
        <x:v>400</x:v>
      </x:c>
      <x:c r="D47" s="6" t="str">
        <x:v>67inHg</x:v>
      </x:c>
      <x:c r="E47" s="6" t="str">
        <x:v>high</x:v>
      </x:c>
      <x:c r="F47" s="6" t="n">
        <x:v>1390</x:v>
      </x:c>
      <x:c r="G47" s="6" t="n">
        <x:f>'Assumptions'!$C$5</x:f>
        <x:v>9240</x:v>
      </x:c>
      <x:c r="H47" s="11" t="n">
        <x:f>(101325*((288.15-0.0065*B47*0.3048)/288.15)^5.2558797)/(287.05287*(288.15-0.0065*B47*0.3048))</x:f>
        <x:v>0.6011798798977509</x:v>
      </x:c>
      <x:c r="I47" s="11" t="n">
        <x:f>C47*SQRT(H47/1.225)</x:f>
        <x:v>280.2167976780313</x:v>
      </x:c>
      <x:c r="J47" s="11" t="n">
        <x:f>C47*0.44704/SQRT(1.4*287.05287*(288.15-0.0065*B47*0.3048))</x:f>
        <x:v>0.5713079728816471</x:v>
      </x:c>
      <x:c r="K47" s="12" t="n">
        <x:f>0.5*H47*(C47*0.44704)^2</x:f>
        <x:v>9611.411982150614</x:v>
      </x:c>
      <x:c r="L47" s="11" t="n">
        <x:f>'Assumptions'!$C$6*0.09290304</x:f>
        <x:v>21.646408320000003</x:v>
      </x:c>
      <x:c r="M47" s="11" t="n">
        <x:f>('Assumptions'!$C$7*0.3048)^2/L47</x:f>
        <x:v>5.875536480686696</x:v>
      </x:c>
      <x:c r="N47" s="11" t="n">
        <x:f>1/(PI()*M47*'Assumptions'!$C$9)</x:f>
        <x:v>0.06771932385027686</x:v>
      </x:c>
      <x:c r="O47" s="13" t="n">
        <x:f>G47/'Assumptions'!$C$6</x:f>
        <x:v>39.65665236051502</x:v>
      </x:c>
      <x:c r="P47" s="14" t="n">
        <x:f>F47/G47</x:f>
        <x:v>0.15043290043290045</x:v>
      </x:c>
      <x:c r="Q47" s="15" t="n">
        <x:f>G47*4.4482216153/(K47*L47)</x:f>
        <x:v>0.19755378178124924</x:v>
      </x:c>
      <x:c r="R47" s="15" t="n">
        <x:f>'Assumptions'!$C$8+'Assumptions'!$C$13</x:f>
        <x:v>0.016</x:v>
      </x:c>
      <x:c r="S47" s="15" t="n">
        <x:f>N47*Q47^2</x:f>
        <x:v>0.0026429156878270076</x:v>
      </x:c>
      <x:c r="T47" s="15" t="n">
        <x:f>'Assumptions'!$C$14</x:f>
        <x:v>0</x:v>
      </x:c>
      <x:c r="U47" s="15" t="n">
        <x:f>SUM(R47:T47)</x:f>
        <x:v>0.018642915687827007</x:v>
      </x:c>
      <x:c r="V47" s="16" t="n">
        <x:f>K47*L47*R47/4.4482216153</x:f>
        <x:v>748.3531758642962</x:v>
      </x:c>
      <x:c r="W47" s="16" t="n">
        <x:f>K47*L47*S47/4.4482216153</x:f>
        <x:v>123.61464678293198</x:v>
      </x:c>
      <x:c r="X47" s="16" t="n">
        <x:f>K47*L47*T47/4.4482216153</x:f>
        <x:v>0</x:v>
      </x:c>
      <x:c r="Y47" s="16" t="n">
        <x:f>SUM(V47:X47)</x:f>
        <x:v>871.9678226472282</x:v>
      </x:c>
      <x:c r="Z47" s="9" t="n">
        <x:f>V47/Y47</x:f>
        <x:v>0.8582348527407269</x:v>
      </x:c>
      <x:c r="AA47" s="9" t="n">
        <x:f>W47/Y47</x:f>
        <x:v>0.14176514725927303</x:v>
      </x:c>
      <x:c r="AB47" s="13" t="n">
        <x:f>G47/Y47</x:f>
        <x:v>10.59672130096276</x:v>
      </x:c>
      <x:c r="AC47" s="11" t="n">
        <x:f>'Assumptions'!$C$10</x:f>
        <x:v>0.8</x:v>
      </x:c>
      <x:c r="AD47" s="16" t="n">
        <x:f>F47</x:f>
        <x:v>1390</x:v>
      </x:c>
      <x:c r="AE47" s="16" t="n">
        <x:f>AD47*AC47</x:f>
        <x:v>1112</x:v>
      </x:c>
      <x:c r="AF47" s="16" t="n">
        <x:f>Y47*4.4482216153*(C47*0.44704)/745.6998716</x:f>
        <x:v>930.0990108098551</x:v>
      </x:c>
      <x:c r="AG47" s="16" t="n">
        <x:f>AF47/AC47</x:f>
        <x:v>1162.6237635123189</x:v>
      </x:c>
      <x:c r="AH47" s="16" t="n">
        <x:f>AE47-AF47</x:f>
        <x:v>181.90098919014486</x:v>
      </x:c>
      <x:c r="AI47" s="16" t="n">
        <x:f>AH47*745.6998716/(G47*4.4482216153)</x:f>
        <x:v>3.30020366107036</x:v>
      </x:c>
      <x:c r="AJ47" s="16" t="n">
        <x:f>AI47*196.8503937</x:f>
        <x:v>649.6463899718817</x:v>
      </x:c>
      <x:c r="AK47" s="16" t="n">
        <x:f>AH47*745.6998716/(G47*0.45359237*C47*0.44704)</x:f>
        <x:v>0.18099019233806274</x:v>
      </x:c>
      <x:c r="AL47" s="16" t="n">
        <x:f>SQRT(2*G47*4.4482216153/(1.225*L47*'Assumptions'!$C$11))/0.44704</x:f>
        <x:v>98.46385799361909</x:v>
      </x:c>
      <x:c r="AM47" s="16" t="n">
        <x:f>MIN('Assumptions'!$C$12,'Assumptions'!$C$11*K47*L47/(G47*4.4482216153))</x:f>
        <x:v>6</x:v>
      </x:c>
      <x:c r="AN47" s="16" t="n">
        <x:f>IF(AE47*745.6998716/(C47*0.44704)-(V47+X47)*4.4482216153&lt;W47*4.4482216153,"n.a.",MIN(AM47,SQRT((AE47*745.6998716/(C47*0.44704)-(V47+X47)*4.4482216153)/(W47*4.4482216153))))</x:f>
        <x:v>1.5425779379200313</x:v>
      </x:c>
      <x:c r="AO47" s="16" t="n">
        <x:f>IF(AM47&gt;1,9.80665*SQRT(AM47^2-1)/(C47*0.44704)*180/PI(),"n.a.")</x:f>
        <x:v>18.589638926912507</x:v>
      </x:c>
      <x:c r="AP47" s="16" t="n">
        <x:f>IF(ISNUMBER(AN47),IF(AN47&gt;1,9.80665*SQRT(AN47^2-1)/(C47*0.44704)*180/PI(),"n.a."),"n.a.")</x:f>
        <x:v>3.6906693206997</x:v>
      </x:c>
      <x:c r="AQ47" s="16" t="n">
        <x:f>IF(AM47&gt;1,(C47*0.44704)^2/(9.80665*SQRT(AM47^2-1)),"n.a.")</x:f>
        <x:v>551.1350785075714</x:v>
      </x:c>
      <x:c r="AR47" s="16" t="n">
        <x:f>IF(ISNUMBER(AN47),IF(AN47&gt;1,(C47*0.44704)^2/(9.80665*SQRT(AN47^2-1)),"n.a."),"n.a.")</x:f>
        <x:v>2776.028199532366</x:v>
      </x:c>
      <x:c r="AS47" s="6" t="str">
        <x:f>IF(I47&gt;=AL47,"Within modeled CLmax","Below modeled stall")</x:f>
        <x:v>Within modeled CLmax</x:v>
      </x:c>
      <x:c r="AT47" s="6" t="str">
        <x:v>D: aero and eta estimated</x:v>
      </x:c>
      <x:c r="AU47" s="6" t="str">
        <x:v>Fixed BHP node snapshot; no source-backed 6G/CLmax/eta map</x:v>
      </x:c>
    </x:row>
    <x:row r="48">
      <x:c r="B48" s="10" t="n">
        <x:v>22400</x:v>
      </x:c>
      <x:c r="C48" s="10" t="n">
        <x:v>430</x:v>
      </x:c>
      <x:c r="D48" s="6" t="str">
        <x:v>67inHg</x:v>
      </x:c>
      <x:c r="E48" s="6" t="str">
        <x:v>high</x:v>
      </x:c>
      <x:c r="F48" s="6" t="n">
        <x:v>1390</x:v>
      </x:c>
      <x:c r="G48" s="6" t="n">
        <x:f>'Assumptions'!$C$5</x:f>
        <x:v>9240</x:v>
      </x:c>
      <x:c r="H48" s="11" t="n">
        <x:f>(101325*((288.15-0.0065*B48*0.3048)/288.15)^5.2558797)/(287.05287*(288.15-0.0065*B48*0.3048))</x:f>
        <x:v>0.6011798798977509</x:v>
      </x:c>
      <x:c r="I48" s="11" t="n">
        <x:f>C48*SQRT(H48/1.225)</x:f>
        <x:v>301.23305750388363</x:v>
      </x:c>
      <x:c r="J48" s="11" t="n">
        <x:f>C48*0.44704/SQRT(1.4*287.05287*(288.15-0.0065*B48*0.3048))</x:f>
        <x:v>0.6141560708477707</x:v>
      </x:c>
      <x:c r="K48" s="12" t="n">
        <x:f>0.5*H48*(C48*0.44704)^2</x:f>
        <x:v>11107.187971872801</x:v>
      </x:c>
      <x:c r="L48" s="11" t="n">
        <x:f>'Assumptions'!$C$6*0.09290304</x:f>
        <x:v>21.646408320000003</x:v>
      </x:c>
      <x:c r="M48" s="11" t="n">
        <x:f>('Assumptions'!$C$7*0.3048)^2/L48</x:f>
        <x:v>5.875536480686696</x:v>
      </x:c>
      <x:c r="N48" s="11" t="n">
        <x:f>1/(PI()*M48*'Assumptions'!$C$9)</x:f>
        <x:v>0.06771932385027686</x:v>
      </x:c>
      <x:c r="O48" s="13" t="n">
        <x:f>G48/'Assumptions'!$C$6</x:f>
        <x:v>39.65665236051502</x:v>
      </x:c>
      <x:c r="P48" s="14" t="n">
        <x:f>F48/G48</x:f>
        <x:v>0.15043290043290045</x:v>
      </x:c>
      <x:c r="Q48" s="15" t="n">
        <x:f>G48*4.4482216153/(K48*L48)</x:f>
        <x:v>0.170949730043266</x:v>
      </x:c>
      <x:c r="R48" s="15" t="n">
        <x:f>'Assumptions'!$C$8+'Assumptions'!$C$13</x:f>
        <x:v>0.016</x:v>
      </x:c>
      <x:c r="S48" s="15" t="n">
        <x:f>N48*Q48^2</x:f>
        <x:v>0.001979016667199156</x:v>
      </x:c>
      <x:c r="T48" s="15" t="n">
        <x:f>'Assumptions'!$C$14</x:f>
        <x:v>0</x:v>
      </x:c>
      <x:c r="U48" s="15" t="n">
        <x:f>SUM(R48:T48)</x:f>
        <x:v>0.017979016667199157</x:v>
      </x:c>
      <x:c r="V48" s="16" t="n">
        <x:f>K48*L48*R48/4.4482216153</x:f>
        <x:v>864.8156388581772</x:v>
      </x:c>
      <x:c r="W48" s="16" t="n">
        <x:f>K48*L48*S48/4.4482216153</x:f>
        <x:v>106.96778520967617</x:v>
      </x:c>
      <x:c r="X48" s="16" t="n">
        <x:f>K48*L48*T48/4.4482216153</x:f>
        <x:v>0</x:v>
      </x:c>
      <x:c r="Y48" s="16" t="n">
        <x:f>SUM(V48:X48)</x:f>
        <x:v>971.7834240678534</x:v>
      </x:c>
      <x:c r="Z48" s="9" t="n">
        <x:f>V48/Y48</x:f>
        <x:v>0.8899263122209755</x:v>
      </x:c>
      <x:c r="AA48" s="9" t="n">
        <x:f>W48/Y48</x:f>
        <x:v>0.1100736877790244</x:v>
      </x:c>
      <x:c r="AB48" s="13" t="n">
        <x:f>G48/Y48</x:f>
        <x:v>9.508291427035939</x:v>
      </x:c>
      <x:c r="AC48" s="11" t="n">
        <x:f>'Assumptions'!$C$10</x:f>
        <x:v>0.8</x:v>
      </x:c>
      <x:c r="AD48" s="16" t="n">
        <x:f>F48</x:f>
        <x:v>1390</x:v>
      </x:c>
      <x:c r="AE48" s="16" t="n">
        <x:f>AD48*AC48</x:f>
        <x:v>1112</x:v>
      </x:c>
      <x:c r="AF48" s="16" t="n">
        <x:f>Y48*4.4482216153*(C48*0.44704)/745.6998716</x:f>
        <x:v>1114.3116595812062</x:v>
      </x:c>
      <x:c r="AG48" s="16" t="n">
        <x:f>AF48/AC48</x:f>
        <x:v>1392.8895744765077</x:v>
      </x:c>
      <x:c r="AH48" s="16" t="n">
        <x:f>AE48-AF48</x:f>
        <x:v>-2.311659581206186</x:v>
      </x:c>
      <x:c r="AI48" s="16" t="n">
        <x:f>AH48*745.6998716/(G48*4.4482216153)</x:f>
        <x:v>-0.04194010954536555</x:v>
      </x:c>
      <x:c r="AJ48" s="16" t="n">
        <x:f>AI48*196.8503937</x:f>
        <x:v>-8.255927075826337</x:v>
      </x:c>
      <x:c r="AK48" s="16" t="n">
        <x:f>AH48*745.6998716/(G48*0.45359237*C48*0.44704)</x:f>
        <x:v>-0.0021396138282028312</x:v>
      </x:c>
      <x:c r="AL48" s="16" t="n">
        <x:f>SQRT(2*G48*4.4482216153/(1.225*L48*'Assumptions'!$C$11))/0.44704</x:f>
        <x:v>98.46385799361909</x:v>
      </x:c>
      <x:c r="AM48" s="16" t="n">
        <x:f>MIN('Assumptions'!$C$12,'Assumptions'!$C$11*K48*L48/(G48*4.4482216153))</x:f>
        <x:v>6</x:v>
      </x:c>
      <x:c r="AN48" s="16" t="str">
        <x:f>IF(AE48*745.6998716/(C48*0.44704)-(V48+X48)*4.4482216153&lt;W48*4.4482216153,"n.a.",MIN(AM48,SQRT((AE48*745.6998716/(C48*0.44704)-(V48+X48)*4.4482216153)/(W48*4.4482216153))))</x:f>
        <x:v>n.a.</x:v>
      </x:c>
      <x:c r="AO48" s="16" t="n">
        <x:f>IF(AM48&gt;1,9.80665*SQRT(AM48^2-1)/(C48*0.44704)*180/PI(),"n.a.")</x:f>
        <x:v>17.2926873738721</x:v>
      </x:c>
      <x:c r="AP48" s="16" t="str">
        <x:f>IF(ISNUMBER(AN48),IF(AN48&gt;1,9.80665*SQRT(AN48^2-1)/(C48*0.44704)*180/PI(),"n.a."),"n.a.")</x:f>
        <x:v>n.a.</x:v>
      </x:c>
      <x:c r="AQ48" s="16" t="n">
        <x:f>IF(AM48&gt;1,(C48*0.44704)^2/(9.80665*SQRT(AM48^2-1)),"n.a.")</x:f>
        <x:v>636.9054751003122</x:v>
      </x:c>
      <x:c r="AR48" s="16" t="str">
        <x:f>IF(ISNUMBER(AN48),IF(AN48&gt;1,(C48*0.44704)^2/(9.80665*SQRT(AN48^2-1)),"n.a."),"n.a.")</x:f>
        <x:v>n.a.</x:v>
      </x:c>
      <x:c r="AS48" s="6" t="str">
        <x:f>IF(I48&gt;=AL48,"Within modeled CLmax","Below modeled stall")</x:f>
        <x:v>Within modeled CLmax</x:v>
      </x:c>
      <x:c r="AT48" s="6" t="str">
        <x:v>D: aero and eta estimated</x:v>
      </x:c>
      <x:c r="AU48" s="6" t="str">
        <x:v>Fixed BHP node snapshot; no source-backed 6G/CLmax/eta map</x:v>
      </x:c>
    </x:row>
    <x:row r="49">
      <x:c r="B49" s="10" t="n">
        <x:v>32000</x:v>
      </x:c>
      <x:c r="C49" s="10" t="n">
        <x:v>130</x:v>
      </x:c>
      <x:c r="D49" s="6" t="str">
        <x:v>67inHg</x:v>
      </x:c>
      <x:c r="E49" s="6" t="str">
        <x:v>high</x:v>
      </x:c>
      <x:c r="F49" s="6" t="n">
        <x:v>1038</x:v>
      </x:c>
      <x:c r="G49" s="6" t="n">
        <x:f>'Assumptions'!$C$5</x:f>
        <x:v>9240</x:v>
      </x:c>
      <x:c r="H49" s="11" t="n">
        <x:f>(101325*((288.15-0.0065*B49*0.3048)/288.15)^5.2558797)/(287.05287*(288.15-0.0065*B49*0.3048))</x:f>
        <x:v>0.4254605501986246</x:v>
      </x:c>
      <x:c r="I49" s="11" t="n">
        <x:f>C49*SQRT(H49/1.225)</x:f>
        <x:v>76.61343889336086</x:v>
      </x:c>
      <x:c r="J49" s="11" t="n">
        <x:f>C49*0.44704/SQRT(1.4*287.05287*(288.15-0.0065*B49*0.3048))</x:f>
        <x:v>0.1933719052001517</x:v>
      </x:c>
      <x:c r="K49" s="12" t="n">
        <x:f>0.5*H49*(C49*0.44704)^2</x:f>
        <x:v>718.4702257982838</x:v>
      </x:c>
      <x:c r="L49" s="11" t="n">
        <x:f>'Assumptions'!$C$6*0.09290304</x:f>
        <x:v>21.646408320000003</x:v>
      </x:c>
      <x:c r="M49" s="11" t="n">
        <x:f>('Assumptions'!$C$7*0.3048)^2/L49</x:f>
        <x:v>5.875536480686696</x:v>
      </x:c>
      <x:c r="N49" s="11" t="n">
        <x:f>1/(PI()*M49*'Assumptions'!$C$9)</x:f>
        <x:v>0.06771932385027686</x:v>
      </x:c>
      <x:c r="O49" s="13" t="n">
        <x:f>G49/'Assumptions'!$C$6</x:f>
        <x:v>39.65665236051502</x:v>
      </x:c>
      <x:c r="P49" s="14" t="n">
        <x:f>F49/G49</x:f>
        <x:v>0.11233766233766233</x:v>
      </x:c>
      <x:c r="Q49" s="15" t="n">
        <x:f>G49*4.4482216153/(K49*L49)</x:f>
        <x:v>2.642796760605862</x:v>
      </x:c>
      <x:c r="R49" s="15" t="n">
        <x:f>'Assumptions'!$C$8+'Assumptions'!$C$13</x:f>
        <x:v>0.016</x:v>
      </x:c>
      <x:c r="S49" s="15" t="n">
        <x:f>N49*Q49^2</x:f>
        <x:v>0.4729771334110459</x:v>
      </x:c>
      <x:c r="T49" s="15" t="n">
        <x:f>'Assumptions'!$C$14</x:f>
        <x:v>0</x:v>
      </x:c>
      <x:c r="U49" s="15" t="n">
        <x:f>SUM(R49:T49)</x:f>
        <x:v>0.48897713341104593</x:v>
      </x:c>
      <x:c r="V49" s="16" t="n">
        <x:f>K49*L49*R49/4.4482216153</x:f>
        <x:v>55.94073755641642</x:v>
      </x:c>
      <x:c r="W49" s="16" t="n">
        <x:f>K49*L49*S49/4.4482216153</x:f>
        <x:v>1653.6681056458422</x:v>
      </x:c>
      <x:c r="X49" s="16" t="n">
        <x:f>K49*L49*T49/4.4482216153</x:f>
        <x:v>0</x:v>
      </x:c>
      <x:c r="Y49" s="16" t="n">
        <x:f>SUM(V49:X49)</x:f>
        <x:v>1709.6088432022586</x:v>
      </x:c>
      <x:c r="Z49" s="9" t="n">
        <x:f>V49/Y49</x:f>
        <x:v>0.032721366515415386</x:v>
      </x:c>
      <x:c r="AA49" s="9" t="n">
        <x:f>W49/Y49</x:f>
        <x:v>0.9672786334845845</x:v>
      </x:c>
      <x:c r="AB49" s="13" t="n">
        <x:f>G49/Y49</x:f>
        <x:v>5.404745089346057</x:v>
      </x:c>
      <x:c r="AC49" s="11" t="n">
        <x:f>'Assumptions'!$C$10</x:f>
        <x:v>0.8</x:v>
      </x:c>
      <x:c r="AD49" s="16" t="n">
        <x:f>F49</x:f>
        <x:v>1038</x:v>
      </x:c>
      <x:c r="AE49" s="16" t="n">
        <x:f>AD49*AC49</x:f>
        <x:v>830.4000000000001</x:v>
      </x:c>
      <x:c r="AF49" s="16" t="n">
        <x:f>Y49*4.4482216153*(C49*0.44704)/745.6998716</x:f>
        <x:v>592.6643989679545</x:v>
      </x:c>
      <x:c r="AG49" s="16" t="n">
        <x:f>AF49/AC49</x:f>
        <x:v>740.8304987099431</x:v>
      </x:c>
      <x:c r="AH49" s="16" t="n">
        <x:f>AE49-AF49</x:f>
        <x:v>237.73560103204557</x:v>
      </x:c>
      <x:c r="AI49" s="16" t="n">
        <x:f>AH49*745.6998716/(G49*4.4482216153)</x:f>
        <x:v>4.313203047359933</x:v>
      </x:c>
      <x:c r="AJ49" s="16" t="n">
        <x:f>AI49*196.8503937</x:f>
        <x:v>849.0557179808427</x:v>
      </x:c>
      <x:c r="AK49" s="16" t="n">
        <x:f>AH49*745.6998716/(G49*0.45359237*C49*0.44704)</x:f>
        <x:v>0.7278314909828737</x:v>
      </x:c>
      <x:c r="AL49" s="16" t="n">
        <x:f>SQRT(2*G49*4.4482216153/(1.225*L49*'Assumptions'!$C$11))/0.44704</x:f>
        <x:v>98.46385799361909</x:v>
      </x:c>
      <x:c r="AM49" s="16" t="n">
        <x:f>MIN('Assumptions'!$C$12,'Assumptions'!$C$11*K49*L49/(G49*4.4482216153))</x:f>
        <x:v>0.6054192376235543</x:v>
      </x:c>
      <x:c r="AN49" s="16" t="n">
        <x:f>IF(AE49*745.6998716/(C49*0.44704)-(V49+X49)*4.4482216153&lt;W49*4.4482216153,"n.a.",MIN(AM49,SQRT((AE49*745.6998716/(C49*0.44704)-(V49+X49)*4.4482216153)/(W49*4.4482216153))))</x:f>
        <x:v>0.6054192376235543</x:v>
      </x:c>
      <x:c r="AO49" s="16" t="str">
        <x:f>IF(AM49&gt;1,9.80665*SQRT(AM49^2-1)/(C49*0.44704)*180/PI(),"n.a.")</x:f>
        <x:v>n.a.</x:v>
      </x:c>
      <x:c r="AP49" s="16" t="str">
        <x:f>IF(ISNUMBER(AN49),IF(AN49&gt;1,9.80665*SQRT(AN49^2-1)/(C49*0.44704)*180/PI(),"n.a."),"n.a.")</x:f>
        <x:v>n.a.</x:v>
      </x:c>
      <x:c r="AQ49" s="16" t="str">
        <x:f>IF(AM49&gt;1,(C49*0.44704)^2/(9.80665*SQRT(AM49^2-1)),"n.a.")</x:f>
        <x:v>n.a.</x:v>
      </x:c>
      <x:c r="AR49" s="16" t="str">
        <x:f>IF(ISNUMBER(AN49),IF(AN49&gt;1,(C49*0.44704)^2/(9.80665*SQRT(AN49^2-1)),"n.a."),"n.a.")</x:f>
        <x:v>n.a.</x:v>
      </x:c>
      <x:c r="AS49" s="6" t="str">
        <x:f>IF(I49&gt;=AL49,"Within modeled CLmax","Below modeled stall")</x:f>
        <x:v>Below modeled stall</x:v>
      </x:c>
      <x:c r="AT49" s="6" t="str">
        <x:v>D: aero and eta estimated</x:v>
      </x:c>
      <x:c r="AU49" s="6" t="str">
        <x:v>Fixed BHP node snapshot; no source-backed 6G/CLmax/eta map</x:v>
      </x:c>
    </x:row>
    <x:row r="50">
      <x:c r="B50" s="10" t="n">
        <x:v>32000</x:v>
      </x:c>
      <x:c r="C50" s="10" t="n">
        <x:v>160</x:v>
      </x:c>
      <x:c r="D50" s="6" t="str">
        <x:v>67inHg</x:v>
      </x:c>
      <x:c r="E50" s="6" t="str">
        <x:v>high</x:v>
      </x:c>
      <x:c r="F50" s="6" t="n">
        <x:v>1038</x:v>
      </x:c>
      <x:c r="G50" s="6" t="n">
        <x:f>'Assumptions'!$C$5</x:f>
        <x:v>9240</x:v>
      </x:c>
      <x:c r="H50" s="11" t="n">
        <x:f>(101325*((288.15-0.0065*B50*0.3048)/288.15)^5.2558797)/(287.05287*(288.15-0.0065*B50*0.3048))</x:f>
        <x:v>0.4254605501986246</x:v>
      </x:c>
      <x:c r="I50" s="11" t="n">
        <x:f>C50*SQRT(H50/1.225)</x:f>
        <x:v>94.29346325336722</x:v>
      </x:c>
      <x:c r="J50" s="11" t="n">
        <x:f>C50*0.44704/SQRT(1.4*287.05287*(288.15-0.0065*B50*0.3048))</x:f>
        <x:v>0.2379961910155713</x:v>
      </x:c>
      <x:c r="K50" s="12" t="n">
        <x:f>0.5*H50*(C50*0.44704)^2</x:f>
        <x:v>1088.3335964755065</x:v>
      </x:c>
      <x:c r="L50" s="11" t="n">
        <x:f>'Assumptions'!$C$6*0.09290304</x:f>
        <x:v>21.646408320000003</x:v>
      </x:c>
      <x:c r="M50" s="11" t="n">
        <x:f>('Assumptions'!$C$7*0.3048)^2/L50</x:f>
        <x:v>5.875536480686696</x:v>
      </x:c>
      <x:c r="N50" s="11" t="n">
        <x:f>1/(PI()*M50*'Assumptions'!$C$9)</x:f>
        <x:v>0.06771932385027686</x:v>
      </x:c>
      <x:c r="O50" s="13" t="n">
        <x:f>G50/'Assumptions'!$C$6</x:f>
        <x:v>39.65665236051502</x:v>
      </x:c>
      <x:c r="P50" s="14" t="n">
        <x:f>F50/G50</x:f>
        <x:v>0.11233766233766233</x:v>
      </x:c>
      <x:c r="Q50" s="15" t="n">
        <x:f>G50*4.4482216153/(K50*L50)</x:f>
        <x:v>1.7446587989937141</x:v>
      </x:c>
      <x:c r="R50" s="15" t="n">
        <x:f>'Assumptions'!$C$8+'Assumptions'!$C$13</x:f>
        <x:v>0.016</x:v>
      </x:c>
      <x:c r="S50" s="15" t="n">
        <x:f>N50*Q50^2</x:f>
        <x:v>0.20612640239491106</x:v>
      </x:c>
      <x:c r="T50" s="15" t="n">
        <x:f>'Assumptions'!$C$14</x:f>
        <x:v>0</x:v>
      </x:c>
      <x:c r="U50" s="15" t="n">
        <x:f>SUM(R50:T50)</x:f>
        <x:v>0.22212640239491105</x:v>
      </x:c>
      <x:c r="V50" s="16" t="n">
        <x:f>K50*L50*R50/4.4482216153</x:f>
        <x:v>84.7386320381219</x:v>
      </x:c>
      <x:c r="W50" s="16" t="n">
        <x:f>K50*L50*S50/4.4482216153</x:f>
        <x:v>1091.6793353677635</x:v>
      </x:c>
      <x:c r="X50" s="16" t="n">
        <x:f>K50*L50*T50/4.4482216153</x:f>
        <x:v>0</x:v>
      </x:c>
      <x:c r="Y50" s="16" t="n">
        <x:f>SUM(V50:X50)</x:f>
        <x:v>1176.4179674058855</x:v>
      </x:c>
      <x:c r="Z50" s="9" t="n">
        <x:f>V50/Y50</x:f>
        <x:v>0.07203105901636195</x:v>
      </x:c>
      <x:c r="AA50" s="9" t="n">
        <x:f>W50/Y50</x:f>
        <x:v>0.927968940983638</x:v>
      </x:c>
      <x:c r="AB50" s="13" t="n">
        <x:f>G50/Y50</x:f>
        <x:v>7.854351307108209</x:v>
      </x:c>
      <x:c r="AC50" s="11" t="n">
        <x:f>'Assumptions'!$C$10</x:f>
        <x:v>0.8</x:v>
      </x:c>
      <x:c r="AD50" s="16" t="n">
        <x:f>F50</x:f>
        <x:v>1038</x:v>
      </x:c>
      <x:c r="AE50" s="16" t="n">
        <x:f>AD50*AC50</x:f>
        <x:v>830.4000000000001</x:v>
      </x:c>
      <x:c r="AF50" s="16" t="n">
        <x:f>Y50*4.4482216153*(C50*0.44704)/745.6998716</x:f>
        <x:v>501.93833275236744</x:v>
      </x:c>
      <x:c r="AG50" s="16" t="n">
        <x:f>AF50/AC50</x:f>
        <x:v>627.4229159404592</x:v>
      </x:c>
      <x:c r="AH50" s="16" t="n">
        <x:f>AE50-AF50</x:f>
        <x:v>328.46166724763265</x:v>
      </x:c>
      <x:c r="AI50" s="16" t="n">
        <x:f>AH50*745.6998716/(G50*4.4482216153)</x:f>
        <x:v>5.959233105867248</x:v>
      </x:c>
      <x:c r="AJ50" s="16" t="n">
        <x:f>AI50*196.8503937</x:f>
        <x:v>1173.0773830400415</x:v>
      </x:c>
      <x:c r="AK50" s="16" t="n">
        <x:f>AH50*745.6998716/(G50*0.45359237*C50*0.44704)</x:f>
        <x:v>0.8170425652370593</x:v>
      </x:c>
      <x:c r="AL50" s="16" t="n">
        <x:f>SQRT(2*G50*4.4482216153/(1.225*L50*'Assumptions'!$C$11))/0.44704</x:f>
        <x:v>98.46385799361909</x:v>
      </x:c>
      <x:c r="AM50" s="16" t="n">
        <x:f>MIN('Assumptions'!$C$12,'Assumptions'!$C$11*K50*L50/(G50*4.4482216153))</x:f>
        <x:v>0.9170847623173365</x:v>
      </x:c>
      <x:c r="AN50" s="16" t="n">
        <x:f>IF(AE50*745.6998716/(C50*0.44704)-(V50+X50)*4.4482216153&lt;W50*4.4482216153,"n.a.",MIN(AM50,SQRT((AE50*745.6998716/(C50*0.44704)-(V50+X50)*4.4482216153)/(W50*4.4482216153))))</x:f>
        <x:v>0.9170847623173365</x:v>
      </x:c>
      <x:c r="AO50" s="16" t="str">
        <x:f>IF(AM50&gt;1,9.80665*SQRT(AM50^2-1)/(C50*0.44704)*180/PI(),"n.a.")</x:f>
        <x:v>n.a.</x:v>
      </x:c>
      <x:c r="AP50" s="16" t="str">
        <x:f>IF(ISNUMBER(AN50),IF(AN50&gt;1,9.80665*SQRT(AN50^2-1)/(C50*0.44704)*180/PI(),"n.a."),"n.a.")</x:f>
        <x:v>n.a.</x:v>
      </x:c>
      <x:c r="AQ50" s="16" t="str">
        <x:f>IF(AM50&gt;1,(C50*0.44704)^2/(9.80665*SQRT(AM50^2-1)),"n.a.")</x:f>
        <x:v>n.a.</x:v>
      </x:c>
      <x:c r="AR50" s="16" t="str">
        <x:f>IF(ISNUMBER(AN50),IF(AN50&gt;1,(C50*0.44704)^2/(9.80665*SQRT(AN50^2-1)),"n.a."),"n.a.")</x:f>
        <x:v>n.a.</x:v>
      </x:c>
      <x:c r="AS50" s="6" t="str">
        <x:f>IF(I50&gt;=AL50,"Within modeled CLmax","Below modeled stall")</x:f>
        <x:v>Below modeled stall</x:v>
      </x:c>
      <x:c r="AT50" s="6" t="str">
        <x:v>D: aero and eta estimated</x:v>
      </x:c>
      <x:c r="AU50" s="6" t="str">
        <x:v>Fixed BHP node snapshot; no source-backed 6G/CLmax/eta map</x:v>
      </x:c>
    </x:row>
    <x:row r="51">
      <x:c r="B51" s="10" t="n">
        <x:v>32000</x:v>
      </x:c>
      <x:c r="C51" s="10" t="n">
        <x:v>190</x:v>
      </x:c>
      <x:c r="D51" s="6" t="str">
        <x:v>67inHg</x:v>
      </x:c>
      <x:c r="E51" s="6" t="str">
        <x:v>high</x:v>
      </x:c>
      <x:c r="F51" s="6" t="n">
        <x:v>1038</x:v>
      </x:c>
      <x:c r="G51" s="6" t="n">
        <x:f>'Assumptions'!$C$5</x:f>
        <x:v>9240</x:v>
      </x:c>
      <x:c r="H51" s="11" t="n">
        <x:f>(101325*((288.15-0.0065*B51*0.3048)/288.15)^5.2558797)/(287.05287*(288.15-0.0065*B51*0.3048))</x:f>
        <x:v>0.4254605501986246</x:v>
      </x:c>
      <x:c r="I51" s="11" t="n">
        <x:f>C51*SQRT(H51/1.225)</x:f>
        <x:v>111.97348761337358</x:v>
      </x:c>
      <x:c r="J51" s="11" t="n">
        <x:f>C51*0.44704/SQRT(1.4*287.05287*(288.15-0.0065*B51*0.3048))</x:f>
        <x:v>0.28262047683099095</x:v>
      </x:c>
      <x:c r="K51" s="12" t="n">
        <x:f>0.5*H51*(C51*0.44704)^2</x:f>
        <x:v>1534.720423154914</x:v>
      </x:c>
      <x:c r="L51" s="11" t="n">
        <x:f>'Assumptions'!$C$6*0.09290304</x:f>
        <x:v>21.646408320000003</x:v>
      </x:c>
      <x:c r="M51" s="11" t="n">
        <x:f>('Assumptions'!$C$7*0.3048)^2/L51</x:f>
        <x:v>5.875536480686696</x:v>
      </x:c>
      <x:c r="N51" s="11" t="n">
        <x:f>1/(PI()*M51*'Assumptions'!$C$9)</x:f>
        <x:v>0.06771932385027686</x:v>
      </x:c>
      <x:c r="O51" s="13" t="n">
        <x:f>G51/'Assumptions'!$C$6</x:f>
        <x:v>39.65665236051502</x:v>
      </x:c>
      <x:c r="P51" s="14" t="n">
        <x:f>F51/G51</x:f>
        <x:v>0.11233766233766233</x:v>
      </x:c>
      <x:c r="Q51" s="15" t="n">
        <x:f>G51*4.4482216153/(K51*L51)</x:f>
        <x:v>1.237209563829337</x:v>
      </x:c>
      <x:c r="R51" s="15" t="n">
        <x:f>'Assumptions'!$C$8+'Assumptions'!$C$13</x:f>
        <x:v>0.016</x:v>
      </x:c>
      <x:c r="S51" s="15" t="n">
        <x:f>N51*Q51^2</x:f>
        <x:v>0.10365712285320769</x:v>
      </x:c>
      <x:c r="T51" s="15" t="n">
        <x:f>'Assumptions'!$C$14</x:f>
        <x:v>0</x:v>
      </x:c>
      <x:c r="U51" s="15" t="n">
        <x:f>SUM(R51:T51)</x:f>
        <x:v>0.11965712285320769</x:v>
      </x:c>
      <x:c r="V51" s="16" t="n">
        <x:f>K51*L51*R51/4.4482216153</x:f>
        <x:v>119.49471158500789</x:v>
      </x:c>
      <x:c r="W51" s="16" t="n">
        <x:f>K51*L51*S51/4.4482216153</x:f>
        <x:v>774.1548749422363</x:v>
      </x:c>
      <x:c r="X51" s="16" t="n">
        <x:f>K51*L51*T51/4.4482216153</x:f>
        <x:v>0</x:v>
      </x:c>
      <x:c r="Y51" s="16" t="n">
        <x:f>SUM(V51:X51)</x:f>
        <x:v>893.6495865272442</x:v>
      </x:c>
      <x:c r="Z51" s="9" t="n">
        <x:f>V51/Y51</x:f>
        <x:v>0.13371539962253978</x:v>
      </x:c>
      <x:c r="AA51" s="9" t="n">
        <x:f>W51/Y51</x:f>
        <x:v>0.8662846003774602</x:v>
      </x:c>
      <x:c r="AB51" s="13" t="n">
        <x:f>G51/Y51</x:f>
        <x:v>10.339623202766743</x:v>
      </x:c>
      <x:c r="AC51" s="11" t="n">
        <x:f>'Assumptions'!$C$10</x:f>
        <x:v>0.8</x:v>
      </x:c>
      <x:c r="AD51" s="16" t="n">
        <x:f>F51</x:f>
        <x:v>1038</x:v>
      </x:c>
      <x:c r="AE51" s="16" t="n">
        <x:f>AD51*AC51</x:f>
        <x:v>830.4000000000001</x:v>
      </x:c>
      <x:c r="AF51" s="16" t="n">
        <x:f>Y51*4.4482216153*(C51*0.44704)/745.6998716</x:f>
        <x:v>452.782457167059</x:v>
      </x:c>
      <x:c r="AG51" s="16" t="n">
        <x:f>AF51/AC51</x:f>
        <x:v>565.9780714588237</x:v>
      </x:c>
      <x:c r="AH51" s="16" t="n">
        <x:f>AE51-AF51</x:f>
        <x:v>377.61754283294107</x:v>
      </x:c>
      <x:c r="AI51" s="16" t="n">
        <x:f>AH51*745.6998716/(G51*4.4482216153)</x:f>
        <x:v>6.851061134356842</x:v>
      </x:c>
      <x:c r="AJ51" s="16" t="n">
        <x:f>AI51*196.8503937</x:f>
        <x:v>1348.634081560913</x:v>
      </x:c>
      <x:c r="AK51" s="16" t="n">
        <x:f>AH51*745.6998716/(G51*0.45359237*C51*0.44704)</x:f>
        <x:v>0.7910037330209134</x:v>
      </x:c>
      <x:c r="AL51" s="16" t="n">
        <x:f>SQRT(2*G51*4.4482216153/(1.225*L51*'Assumptions'!$C$11))/0.44704</x:f>
        <x:v>98.46385799361909</x:v>
      </x:c>
      <x:c r="AM51" s="16" t="n">
        <x:f>MIN('Assumptions'!$C$12,'Assumptions'!$C$11*K51*L51/(G51*4.4482216153))</x:f>
        <x:v>1.2932328093615568</x:v>
      </x:c>
      <x:c r="AN51" s="16" t="n">
        <x:f>IF(AE51*745.6998716/(C51*0.44704)-(V51+X51)*4.4482216153&lt;W51*4.4482216153,"n.a.",MIN(AM51,SQRT((AE51*745.6998716/(C51*0.44704)-(V51+X51)*4.4482216153)/(W51*4.4482216153))))</x:f>
        <x:v>1.2932328093615568</x:v>
      </x:c>
      <x:c r="AO51" s="16" t="n">
        <x:f>IF(AM51&gt;1,9.80665*SQRT(AM51^2-1)/(C51*0.44704)*180/PI(),"n.a.")</x:f>
        <x:v>5.424674405647152</x:v>
      </x:c>
      <x:c r="AP51" s="16" t="n">
        <x:f>IF(ISNUMBER(AN51),IF(AN51&gt;1,9.80665*SQRT(AN51^2-1)/(C51*0.44704)*180/PI(),"n.a."),"n.a.")</x:f>
        <x:v>5.424674405647152</x:v>
      </x:c>
      <x:c r="AQ51" s="16" t="n">
        <x:f>IF(AM51&gt;1,(C51*0.44704)^2/(9.80665*SQRT(AM51^2-1)),"n.a.")</x:f>
        <x:v>897.1167001109278</x:v>
      </x:c>
      <x:c r="AR51" s="16" t="n">
        <x:f>IF(ISNUMBER(AN51),IF(AN51&gt;1,(C51*0.44704)^2/(9.80665*SQRT(AN51^2-1)),"n.a."),"n.a.")</x:f>
        <x:v>897.1167001109278</x:v>
      </x:c>
      <x:c r="AS51" s="6" t="str">
        <x:f>IF(I51&gt;=AL51,"Within modeled CLmax","Below modeled stall")</x:f>
        <x:v>Within modeled CLmax</x:v>
      </x:c>
      <x:c r="AT51" s="6" t="str">
        <x:v>D: aero and eta estimated</x:v>
      </x:c>
      <x:c r="AU51" s="6" t="str">
        <x:v>Fixed BHP node snapshot; no source-backed 6G/CLmax/eta map</x:v>
      </x:c>
    </x:row>
    <x:row r="52">
      <x:c r="B52" s="10" t="n">
        <x:v>32000</x:v>
      </x:c>
      <x:c r="C52" s="10" t="n">
        <x:v>220</x:v>
      </x:c>
      <x:c r="D52" s="6" t="str">
        <x:v>67inHg</x:v>
      </x:c>
      <x:c r="E52" s="6" t="str">
        <x:v>high</x:v>
      </x:c>
      <x:c r="F52" s="6" t="n">
        <x:v>1038</x:v>
      </x:c>
      <x:c r="G52" s="6" t="n">
        <x:f>'Assumptions'!$C$5</x:f>
        <x:v>9240</x:v>
      </x:c>
      <x:c r="H52" s="11" t="n">
        <x:f>(101325*((288.15-0.0065*B52*0.3048)/288.15)^5.2558797)/(287.05287*(288.15-0.0065*B52*0.3048))</x:f>
        <x:v>0.4254605501986246</x:v>
      </x:c>
      <x:c r="I52" s="11" t="n">
        <x:f>C52*SQRT(H52/1.225)</x:f>
        <x:v>129.65351197337992</x:v>
      </x:c>
      <x:c r="J52" s="11" t="n">
        <x:f>C52*0.44704/SQRT(1.4*287.05287*(288.15-0.0065*B52*0.3048))</x:f>
        <x:v>0.32724476264641056</x:v>
      </x:c>
      <x:c r="K52" s="12" t="n">
        <x:f>0.5*H52*(C52*0.44704)^2</x:f>
        <x:v>2057.630705836505</x:v>
      </x:c>
      <x:c r="L52" s="11" t="n">
        <x:f>'Assumptions'!$C$6*0.09290304</x:f>
        <x:v>21.646408320000003</x:v>
      </x:c>
      <x:c r="M52" s="11" t="n">
        <x:f>('Assumptions'!$C$7*0.3048)^2/L52</x:f>
        <x:v>5.875536480686696</x:v>
      </x:c>
      <x:c r="N52" s="11" t="n">
        <x:f>1/(PI()*M52*'Assumptions'!$C$9)</x:f>
        <x:v>0.06771932385027686</x:v>
      </x:c>
      <x:c r="O52" s="13" t="n">
        <x:f>G52/'Assumptions'!$C$6</x:f>
        <x:v>39.65665236051502</x:v>
      </x:c>
      <x:c r="P52" s="14" t="n">
        <x:f>F52/G52</x:f>
        <x:v>0.11233766233766233</x:v>
      </x:c>
      <x:c r="Q52" s="15" t="n">
        <x:f>G52*4.4482216153/(K52*L52)</x:f>
        <x:v>0.922794736657832</x:v>
      </x:c>
      <x:c r="R52" s="15" t="n">
        <x:f>'Assumptions'!$C$8+'Assumptions'!$C$13</x:f>
        <x:v>0.016</x:v>
      </x:c>
      <x:c r="S52" s="15" t="n">
        <x:f>N52*Q52^2</x:f>
        <x:v>0.057666398757568134</x:v>
      </x:c>
      <x:c r="T52" s="15" t="n">
        <x:f>'Assumptions'!$C$14</x:f>
        <x:v>0</x:v>
      </x:c>
      <x:c r="U52" s="15" t="n">
        <x:f>SUM(R52:T52)</x:f>
        <x:v>0.07366639875756814</x:v>
      </x:c>
      <x:c r="V52" s="16" t="n">
        <x:f>K52*L52*R52/4.4482216153</x:f>
        <x:v>160.20897619707426</x:v>
      </x:c>
      <x:c r="W52" s="16" t="n">
        <x:f>K52*L52*S52/4.4482216153</x:f>
        <x:v>577.4171691201391</x:v>
      </x:c>
      <x:c r="X52" s="16" t="n">
        <x:f>K52*L52*T52/4.4482216153</x:f>
        <x:v>0</x:v>
      </x:c>
      <x:c r="Y52" s="16" t="n">
        <x:f>SUM(V52:X52)</x:f>
        <x:v>737.6261453172133</x:v>
      </x:c>
      <x:c r="Z52" s="9" t="n">
        <x:f>V52/Y52</x:f>
        <x:v>0.21719536002642234</x:v>
      </x:c>
      <x:c r="AA52" s="9" t="n">
        <x:f>W52/Y52</x:f>
        <x:v>0.7828046399735777</x:v>
      </x:c>
      <x:c r="AB52" s="13" t="n">
        <x:f>G52/Y52</x:f>
        <x:v>12.526670941180337</x:v>
      </x:c>
      <x:c r="AC52" s="11" t="n">
        <x:f>'Assumptions'!$C$10</x:f>
        <x:v>0.8</x:v>
      </x:c>
      <x:c r="AD52" s="16" t="n">
        <x:f>F52</x:f>
        <x:v>1038</x:v>
      </x:c>
      <x:c r="AE52" s="16" t="n">
        <x:f>AD52*AC52</x:f>
        <x:v>830.4000000000001</x:v>
      </x:c>
      <x:c r="AF52" s="16" t="n">
        <x:f>Y52*4.4482216153*(C52*0.44704)/745.6998716</x:f>
        <x:v>432.7406719129856</x:v>
      </x:c>
      <x:c r="AG52" s="16" t="n">
        <x:f>AF52/AC52</x:f>
        <x:v>540.9258398912319</x:v>
      </x:c>
      <x:c r="AH52" s="16" t="n">
        <x:f>AE52-AF52</x:f>
        <x:v>397.6593280870145</x:v>
      </x:c>
      <x:c r="AI52" s="16" t="n">
        <x:f>AH52*745.6998716/(G52*4.4482216153)</x:f>
        <x:v>7.214676381114734</x:v>
      </x:c>
      <x:c r="AJ52" s="16" t="n">
        <x:f>AI52*196.8503937</x:f>
        <x:v>1420.2118860405267</x:v>
      </x:c>
      <x:c r="AK52" s="16" t="n">
        <x:f>AH52*745.6998716/(G52*0.45359237*C52*0.44704)</x:f>
        <x:v>0.7193967403108841</x:v>
      </x:c>
      <x:c r="AL52" s="16" t="n">
        <x:f>SQRT(2*G52*4.4482216153/(1.225*L52*'Assumptions'!$C$11))/0.44704</x:f>
        <x:v>98.46385799361909</x:v>
      </x:c>
      <x:c r="AM52" s="16" t="n">
        <x:f>MIN('Assumptions'!$C$12,'Assumptions'!$C$11*K52*L52/(G52*4.4482216153))</x:f>
        <x:v>1.733863378756215</x:v>
      </x:c>
      <x:c r="AN52" s="16" t="n">
        <x:f>IF(AE52*745.6998716/(C52*0.44704)-(V52+X52)*4.4482216153&lt;W52*4.4482216153,"n.a.",MIN(AM52,SQRT((AE52*745.6998716/(C52*0.44704)-(V52+X52)*4.4482216153)/(W52*4.4482216153))))</x:f>
        <x:v>1.474414189985494</x:v>
      </x:c>
      <x:c r="AO52" s="16" t="n">
        <x:f>IF(AM52&gt;1,9.80665*SQRT(AM52^2-1)/(C52*0.44704)*180/PI(),"n.a.")</x:f>
        <x:v>8.092267947688615</x:v>
      </x:c>
      <x:c r="AP52" s="16" t="n">
        <x:f>IF(ISNUMBER(AN52),IF(AN52&gt;1,9.80665*SQRT(AN52^2-1)/(C52*0.44704)*180/PI(),"n.a."),"n.a.")</x:f>
        <x:v>6.189980441335448</x:v>
      </x:c>
      <x:c r="AQ52" s="16" t="n">
        <x:f>IF(AM52&gt;1,(C52*0.44704)^2/(9.80665*SQRT(AM52^2-1)),"n.a.")</x:f>
        <x:v>696.340160336107</x:v>
      </x:c>
      <x:c r="AR52" s="16" t="n">
        <x:f>IF(ISNUMBER(AN52),IF(AN52&gt;1,(C52*0.44704)^2/(9.80665*SQRT(AN52^2-1)),"n.a."),"n.a.")</x:f>
        <x:v>910.3374741779511</x:v>
      </x:c>
      <x:c r="AS52" s="6" t="str">
        <x:f>IF(I52&gt;=AL52,"Within modeled CLmax","Below modeled stall")</x:f>
        <x:v>Within modeled CLmax</x:v>
      </x:c>
      <x:c r="AT52" s="6" t="str">
        <x:v>D: aero and eta estimated</x:v>
      </x:c>
      <x:c r="AU52" s="6" t="str">
        <x:v>Fixed BHP node snapshot; no source-backed 6G/CLmax/eta map</x:v>
      </x:c>
    </x:row>
    <x:row r="53">
      <x:c r="B53" s="10" t="n">
        <x:v>32000</x:v>
      </x:c>
      <x:c r="C53" s="10" t="n">
        <x:v>250</x:v>
      </x:c>
      <x:c r="D53" s="6" t="str">
        <x:v>67inHg</x:v>
      </x:c>
      <x:c r="E53" s="6" t="str">
        <x:v>high</x:v>
      </x:c>
      <x:c r="F53" s="6" t="n">
        <x:v>1038</x:v>
      </x:c>
      <x:c r="G53" s="6" t="n">
        <x:f>'Assumptions'!$C$5</x:f>
        <x:v>9240</x:v>
      </x:c>
      <x:c r="H53" s="11" t="n">
        <x:f>(101325*((288.15-0.0065*B53*0.3048)/288.15)^5.2558797)/(287.05287*(288.15-0.0065*B53*0.3048))</x:f>
        <x:v>0.4254605501986246</x:v>
      </x:c>
      <x:c r="I53" s="11" t="n">
        <x:f>C53*SQRT(H53/1.225)</x:f>
        <x:v>147.3335363333863</x:v>
      </x:c>
      <x:c r="J53" s="11" t="n">
        <x:f>C53*0.44704/SQRT(1.4*287.05287*(288.15-0.0065*B53*0.3048))</x:f>
        <x:v>0.3718690484618302</x:v>
      </x:c>
      <x:c r="K53" s="12" t="n">
        <x:f>0.5*H53*(C53*0.44704)^2</x:f>
        <x:v>2657.0644445202806</x:v>
      </x:c>
      <x:c r="L53" s="11" t="n">
        <x:f>'Assumptions'!$C$6*0.09290304</x:f>
        <x:v>21.646408320000003</x:v>
      </x:c>
      <x:c r="M53" s="11" t="n">
        <x:f>('Assumptions'!$C$7*0.3048)^2/L53</x:f>
        <x:v>5.875536480686696</x:v>
      </x:c>
      <x:c r="N53" s="11" t="n">
        <x:f>1/(PI()*M53*'Assumptions'!$C$9)</x:f>
        <x:v>0.06771932385027686</x:v>
      </x:c>
      <x:c r="O53" s="13" t="n">
        <x:f>G53/'Assumptions'!$C$6</x:f>
        <x:v>39.65665236051502</x:v>
      </x:c>
      <x:c r="P53" s="14" t="n">
        <x:f>F53/G53</x:f>
        <x:v>0.11233766233766233</x:v>
      </x:c>
      <x:c r="Q53" s="15" t="n">
        <x:f>G53*4.4482216153/(K53*L53)</x:f>
        <x:v>0.714612244067825</x:v>
      </x:c>
      <x:c r="R53" s="15" t="n">
        <x:f>'Assumptions'!$C$8+'Assumptions'!$C$13</x:f>
        <x:v>0.016</x:v>
      </x:c>
      <x:c r="S53" s="15" t="n">
        <x:f>N53*Q53^2</x:f>
        <x:v>0.03458227176282337</x:v>
      </x:c>
      <x:c r="T53" s="15" t="n">
        <x:f>'Assumptions'!$C$14</x:f>
        <x:v>0</x:v>
      </x:c>
      <x:c r="U53" s="15" t="n">
        <x:f>SUM(R53:T53)</x:f>
        <x:v>0.05058227176282337</x:v>
      </x:c>
      <x:c r="V53" s="16" t="n">
        <x:f>K53*L53*R53/4.4482216153</x:f>
        <x:v>206.8814258743211</x:v>
      </x:c>
      <x:c r="W53" s="16" t="n">
        <x:f>K53*L53*S53/4.4482216153</x:f>
        <x:v>447.1518557666358</x:v>
      </x:c>
      <x:c r="X53" s="16" t="n">
        <x:f>K53*L53*T53/4.4482216153</x:f>
        <x:v>0</x:v>
      </x:c>
      <x:c r="Y53" s="16" t="n">
        <x:f>SUM(V53:X53)</x:f>
        <x:v>654.0332816409568</x:v>
      </x:c>
      <x:c r="Z53" s="9" t="n">
        <x:f>V53/Y53</x:f>
        <x:v>0.3163163583285236</x:v>
      </x:c>
      <x:c r="AA53" s="9" t="n">
        <x:f>W53/Y53</x:f>
        <x:v>0.6836836416714764</x:v>
      </x:c>
      <x:c r="AB53" s="13" t="n">
        <x:f>G53/Y53</x:f>
        <x:v>14.127721416281782</x:v>
      </x:c>
      <x:c r="AC53" s="11" t="n">
        <x:f>'Assumptions'!$C$10</x:f>
        <x:v>0.8</x:v>
      </x:c>
      <x:c r="AD53" s="16" t="n">
        <x:f>F53</x:f>
        <x:v>1038</x:v>
      </x:c>
      <x:c r="AE53" s="16" t="n">
        <x:f>AD53*AC53</x:f>
        <x:v>830.4000000000001</x:v>
      </x:c>
      <x:c r="AF53" s="16" t="n">
        <x:f>Y53*4.4482216153*(C53*0.44704)/745.6998716</x:f>
        <x:v>436.0221877541428</x:v>
      </x:c>
      <x:c r="AG53" s="16" t="n">
        <x:f>AF53/AC53</x:f>
        <x:v>545.0277346926785</x:v>
      </x:c>
      <x:c r="AH53" s="16" t="n">
        <x:f>AE53-AF53</x:f>
        <x:v>394.3778122458573</x:v>
      </x:c>
      <x:c r="AI53" s="16" t="n">
        <x:f>AH53*745.6998716/(G53*4.4482216153)</x:f>
        <x:v>7.15514030799571</x:v>
      </x:c>
      <x:c r="AJ53" s="16" t="n">
        <x:f>AI53*196.8503937</x:f>
        <x:v>1408.492186607695</x:v>
      </x:c>
      <x:c r="AK53" s="16" t="n">
        <x:f>AH53*745.6998716/(G53*0.45359237*C53*0.44704)</x:f>
        <x:v>0.6278449955442843</x:v>
      </x:c>
      <x:c r="AL53" s="16" t="n">
        <x:f>SQRT(2*G53*4.4482216153/(1.225*L53*'Assumptions'!$C$11))/0.44704</x:f>
        <x:v>98.46385799361909</x:v>
      </x:c>
      <x:c r="AM53" s="16" t="n">
        <x:f>MIN('Assumptions'!$C$12,'Assumptions'!$C$11*K53*L53/(G53*4.4482216153))</x:f>
        <x:v>2.2389764705013104</x:v>
      </x:c>
      <x:c r="AN53" s="16" t="n">
        <x:f>IF(AE53*745.6998716/(C53*0.44704)-(V53+X53)*4.4482216153&lt;W53*4.4482216153,"n.a.",MIN(AM53,SQRT((AE53*745.6998716/(C53*0.44704)-(V53+X53)*4.4482216153)/(W53*4.4482216153))))</x:f>
        <x:v>1.52412795938869</x:v>
      </x:c>
      <x:c r="AO53" s="16" t="n">
        <x:f>IF(AM53&gt;1,9.80665*SQRT(AM53^2-1)/(C53*0.44704)*180/PI(),"n.a.")</x:f>
        <x:v>10.071457879815595</x:v>
      </x:c>
      <x:c r="AP53" s="16" t="n">
        <x:f>IF(ISNUMBER(AN53),IF(AN53&gt;1,9.80665*SQRT(AN53^2-1)/(C53*0.44704)*180/PI(),"n.a."),"n.a.")</x:f>
        <x:v>5.782707992136349</x:v>
      </x:c>
      <x:c r="AQ53" s="16" t="n">
        <x:f>IF(AM53&gt;1,(C53*0.44704)^2/(9.80665*SQRT(AM53^2-1)),"n.a.")</x:f>
        <x:v>635.7943799988691</x:v>
      </x:c>
      <x:c r="AR53" s="16" t="n">
        <x:f>IF(ISNUMBER(AN53),IF(AN53&gt;1,(C53*0.44704)^2/(9.80665*SQRT(AN53^2-1)),"n.a."),"n.a.")</x:f>
        <x:v>1107.3317772728194</x:v>
      </x:c>
      <x:c r="AS53" s="6" t="str">
        <x:f>IF(I53&gt;=AL53,"Within modeled CLmax","Below modeled stall")</x:f>
        <x:v>Within modeled CLmax</x:v>
      </x:c>
      <x:c r="AT53" s="6" t="str">
        <x:v>D: aero and eta estimated</x:v>
      </x:c>
      <x:c r="AU53" s="6" t="str">
        <x:v>Fixed BHP node snapshot; no source-backed 6G/CLmax/eta map</x:v>
      </x:c>
    </x:row>
    <x:row r="54">
      <x:c r="B54" s="10" t="n">
        <x:v>32000</x:v>
      </x:c>
      <x:c r="C54" s="10" t="n">
        <x:v>280</x:v>
      </x:c>
      <x:c r="D54" s="6" t="str">
        <x:v>67inHg</x:v>
      </x:c>
      <x:c r="E54" s="6" t="str">
        <x:v>high</x:v>
      </x:c>
      <x:c r="F54" s="6" t="n">
        <x:v>1038</x:v>
      </x:c>
      <x:c r="G54" s="6" t="n">
        <x:f>'Assumptions'!$C$5</x:f>
        <x:v>9240</x:v>
      </x:c>
      <x:c r="H54" s="11" t="n">
        <x:f>(101325*((288.15-0.0065*B54*0.3048)/288.15)^5.2558797)/(287.05287*(288.15-0.0065*B54*0.3048))</x:f>
        <x:v>0.4254605501986246</x:v>
      </x:c>
      <x:c r="I54" s="11" t="n">
        <x:f>C54*SQRT(H54/1.225)</x:f>
        <x:v>165.01356069339263</x:v>
      </x:c>
      <x:c r="J54" s="11" t="n">
        <x:f>C54*0.44704/SQRT(1.4*287.05287*(288.15-0.0065*B54*0.3048))</x:f>
        <x:v>0.4164933342772498</x:v>
      </x:c>
      <x:c r="K54" s="12" t="n">
        <x:f>0.5*H54*(C54*0.44704)^2</x:f>
        <x:v>3333.0216392062393</x:v>
      </x:c>
      <x:c r="L54" s="11" t="n">
        <x:f>'Assumptions'!$C$6*0.09290304</x:f>
        <x:v>21.646408320000003</x:v>
      </x:c>
      <x:c r="M54" s="11" t="n">
        <x:f>('Assumptions'!$C$7*0.3048)^2/L54</x:f>
        <x:v>5.875536480686696</x:v>
      </x:c>
      <x:c r="N54" s="11" t="n">
        <x:f>1/(PI()*M54*'Assumptions'!$C$9)</x:f>
        <x:v>0.06771932385027686</x:v>
      </x:c>
      <x:c r="O54" s="13" t="n">
        <x:f>G54/'Assumptions'!$C$6</x:f>
        <x:v>39.65665236051502</x:v>
      </x:c>
      <x:c r="P54" s="14" t="n">
        <x:f>F54/G54</x:f>
        <x:v>0.11233766233766233</x:v>
      </x:c>
      <x:c r="Q54" s="15" t="n">
        <x:f>G54*4.4482216153/(K54*L54)</x:f>
        <x:v>0.5696845057938658</x:v>
      </x:c>
      <x:c r="R54" s="15" t="n">
        <x:f>'Assumptions'!$C$8+'Assumptions'!$C$13</x:f>
        <x:v>0.016</x:v>
      </x:c>
      <x:c r="S54" s="15" t="n">
        <x:f>N54*Q54^2</x:f>
        <x:v>0.02197765889758318</x:v>
      </x:c>
      <x:c r="T54" s="15" t="n">
        <x:f>'Assumptions'!$C$14</x:f>
        <x:v>0</x:v>
      </x:c>
      <x:c r="U54" s="15" t="n">
        <x:f>SUM(R54:T54)</x:f>
        <x:v>0.03797765889758318</x:v>
      </x:c>
      <x:c r="V54" s="16" t="n">
        <x:f>K54*L54*R54/4.4482216153</x:f>
        <x:v>259.5120606167484</x:v>
      </x:c>
      <x:c r="W54" s="16" t="n">
        <x:f>K54*L54*S54/4.4482216153</x:f>
        <x:v>356.46672175273903</x:v>
      </x:c>
      <x:c r="X54" s="16" t="n">
        <x:f>K54*L54*T54/4.4482216153</x:f>
        <x:v>0</x:v>
      </x:c>
      <x:c r="Y54" s="16" t="n">
        <x:f>SUM(V54:X54)</x:f>
        <x:v>615.9787823694874</x:v>
      </x:c>
      <x:c r="Z54" s="9" t="n">
        <x:f>V54/Y54</x:f>
        <x:v>0.42130032404441364</x:v>
      </x:c>
      <x:c r="AA54" s="9" t="n">
        <x:f>W54/Y54</x:f>
        <x:v>0.5786996759555865</x:v>
      </x:c>
      <x:c r="AB54" s="13" t="n">
        <x:f>G54/Y54</x:f>
        <x:v>15.000516680877327</x:v>
      </x:c>
      <x:c r="AC54" s="11" t="n">
        <x:f>'Assumptions'!$C$10</x:f>
        <x:v>0.8</x:v>
      </x:c>
      <x:c r="AD54" s="16" t="n">
        <x:f>F54</x:f>
        <x:v>1038</x:v>
      </x:c>
      <x:c r="AE54" s="16" t="n">
        <x:f>AD54*AC54</x:f>
        <x:v>830.4000000000001</x:v>
      </x:c>
      <x:c r="AF54" s="16" t="n">
        <x:f>Y54*4.4482216153*(C54*0.44704)/745.6998716</x:f>
        <x:v>459.930824162366</x:v>
      </x:c>
      <x:c r="AG54" s="16" t="n">
        <x:f>AF54/AC54</x:f>
        <x:v>574.9135302029574</x:v>
      </x:c>
      <x:c r="AH54" s="16" t="n">
        <x:f>AE54-AF54</x:f>
        <x:v>370.4691758376341</x:v>
      </x:c>
      <x:c r="AI54" s="16" t="n">
        <x:f>AH54*745.6998716/(G54*4.4482216153)</x:f>
        <x:v>6.721369333154341</x:v>
      </x:c>
      <x:c r="AJ54" s="16" t="n">
        <x:f>AI54*196.8503937</x:f>
        <x:v>1323.1041994345385</x:v>
      </x:c>
      <x:c r="AK54" s="16" t="n">
        <x:f>AH54*745.6998716/(G54*0.45359237*C54*0.44704)</x:f>
        <x:v>0.5265917125629803</x:v>
      </x:c>
      <x:c r="AL54" s="16" t="n">
        <x:f>SQRT(2*G54*4.4482216153/(1.225*L54*'Assumptions'!$C$11))/0.44704</x:f>
        <x:v>98.46385799361909</x:v>
      </x:c>
      <x:c r="AM54" s="16" t="n">
        <x:f>MIN('Assumptions'!$C$12,'Assumptions'!$C$11*K54*L54/(G54*4.4482216153))</x:f>
        <x:v>2.8085720845968436</x:v>
      </x:c>
      <x:c r="AN54" s="16" t="n">
        <x:f>IF(AE54*745.6998716/(C54*0.44704)-(V54+X54)*4.4482216153&lt;W54*4.4482216153,"n.a.",MIN(AM54,SQRT((AE54*745.6998716/(C54*0.44704)-(V54+X54)*4.4482216153)/(W54*4.4482216153))))</x:f>
        <x:v>1.5465750919390762</x:v>
      </x:c>
      <x:c r="AO54" s="16" t="n">
        <x:f>IF(AM54&gt;1,9.80665*SQRT(AM54^2-1)/(C54*0.44704)*180/PI(),"n.a.")</x:f>
        <x:v>11.781155647702654</x:v>
      </x:c>
      <x:c r="AP54" s="16" t="n">
        <x:f>IF(ISNUMBER(AN54),IF(AN54&gt;1,9.80665*SQRT(AN54^2-1)/(C54*0.44704)*180/PI(),"n.a."),"n.a.")</x:f>
        <x:v>5.295927778546856</x:v>
      </x:c>
      <x:c r="AQ54" s="16" t="n">
        <x:f>IF(AM54&gt;1,(C54*0.44704)^2/(9.80665*SQRT(AM54^2-1)),"n.a.")</x:f>
        <x:v>608.7502526109516</x:v>
      </x:c>
      <x:c r="AR54" s="16" t="n">
        <x:f>IF(ISNUMBER(AN54),IF(AN54&gt;1,(C54*0.44704)^2/(9.80665*SQRT(AN54^2-1)),"n.a."),"n.a.")</x:f>
        <x:v>1354.2068125702024</x:v>
      </x:c>
      <x:c r="AS54" s="6" t="str">
        <x:f>IF(I54&gt;=AL54,"Within modeled CLmax","Below modeled stall")</x:f>
        <x:v>Within modeled CLmax</x:v>
      </x:c>
      <x:c r="AT54" s="6" t="str">
        <x:v>D: aero and eta estimated</x:v>
      </x:c>
      <x:c r="AU54" s="6" t="str">
        <x:v>Fixed BHP node snapshot; no source-backed 6G/CLmax/eta map</x:v>
      </x:c>
    </x:row>
    <x:row r="55">
      <x:c r="B55" s="10" t="n">
        <x:v>32000</x:v>
      </x:c>
      <x:c r="C55" s="10" t="n">
        <x:v>310</x:v>
      </x:c>
      <x:c r="D55" s="6" t="str">
        <x:v>67inHg</x:v>
      </x:c>
      <x:c r="E55" s="6" t="str">
        <x:v>high</x:v>
      </x:c>
      <x:c r="F55" s="6" t="n">
        <x:v>1038</x:v>
      </x:c>
      <x:c r="G55" s="6" t="n">
        <x:f>'Assumptions'!$C$5</x:f>
        <x:v>9240</x:v>
      </x:c>
      <x:c r="H55" s="11" t="n">
        <x:f>(101325*((288.15-0.0065*B55*0.3048)/288.15)^5.2558797)/(287.05287*(288.15-0.0065*B55*0.3048))</x:f>
        <x:v>0.4254605501986246</x:v>
      </x:c>
      <x:c r="I55" s="11" t="n">
        <x:f>C55*SQRT(H55/1.225)</x:f>
        <x:v>182.69358505339898</x:v>
      </x:c>
      <x:c r="J55" s="11" t="n">
        <x:f>C55*0.44704/SQRT(1.4*287.05287*(288.15-0.0065*B55*0.3048))</x:f>
        <x:v>0.46111762009266943</x:v>
      </x:c>
      <x:c r="K55" s="12" t="n">
        <x:f>0.5*H55*(C55*0.44704)^2</x:f>
        <x:v>4085.502289894383</x:v>
      </x:c>
      <x:c r="L55" s="11" t="n">
        <x:f>'Assumptions'!$C$6*0.09290304</x:f>
        <x:v>21.646408320000003</x:v>
      </x:c>
      <x:c r="M55" s="11" t="n">
        <x:f>('Assumptions'!$C$7*0.3048)^2/L55</x:f>
        <x:v>5.875536480686696</x:v>
      </x:c>
      <x:c r="N55" s="11" t="n">
        <x:f>1/(PI()*M55*'Assumptions'!$C$9)</x:f>
        <x:v>0.06771932385027686</x:v>
      </x:c>
      <x:c r="O55" s="13" t="n">
        <x:f>G55/'Assumptions'!$C$6</x:f>
        <x:v>39.65665236051502</x:v>
      </x:c>
      <x:c r="P55" s="14" t="n">
        <x:f>F55/G55</x:f>
        <x:v>0.11233766233766233</x:v>
      </x:c>
      <x:c r="Q55" s="15" t="n">
        <x:f>G55*4.4482216153/(K55*L55)</x:f>
        <x:v>0.4647582232491058</x:v>
      </x:c>
      <x:c r="R55" s="15" t="n">
        <x:f>'Assumptions'!$C$8+'Assumptions'!$C$13</x:f>
        <x:v>0.016</x:v>
      </x:c>
      <x:c r="S55" s="15" t="n">
        <x:f>N55*Q55^2</x:f>
        <x:v>0.014627387907099982</x:v>
      </x:c>
      <x:c r="T55" s="15" t="n">
        <x:f>'Assumptions'!$C$14</x:f>
        <x:v>0</x:v>
      </x:c>
      <x:c r="U55" s="15" t="n">
        <x:f>SUM(R55:T55)</x:f>
        <x:v>0.030627387907099984</x:v>
      </x:c>
      <x:c r="V55" s="16" t="n">
        <x:f>K55*L55*R55/4.4482216153</x:f>
        <x:v>318.10088042435615</x:v>
      </x:c>
      <x:c r="W55" s="16" t="n">
        <x:f>K55*L55*S55/4.4482216153</x:f>
        <x:v>290.8115607223178</x:v>
      </x:c>
      <x:c r="X55" s="16" t="n">
        <x:f>K55*L55*T55/4.4482216153</x:f>
        <x:v>0</x:v>
      </x:c>
      <x:c r="Y55" s="16" t="n">
        <x:f>SUM(V55:X55)</x:f>
        <x:v>608.9124411466739</x:v>
      </x:c>
      <x:c r="Z55" s="9" t="n">
        <x:f>V55/Y55</x:f>
        <x:v>0.5224082461270199</x:v>
      </x:c>
      <x:c r="AA55" s="9" t="n">
        <x:f>W55/Y55</x:f>
        <x:v>0.4775917538729801</x:v>
      </x:c>
      <x:c r="AB55" s="13" t="n">
        <x:f>G55/Y55</x:f>
        <x:v>15.174595517542205</x:v>
      </x:c>
      <x:c r="AC55" s="11" t="n">
        <x:f>'Assumptions'!$C$10</x:f>
        <x:v>0.8</x:v>
      </x:c>
      <x:c r="AD55" s="16" t="n">
        <x:f>F55</x:f>
        <x:v>1038</x:v>
      </x:c>
      <x:c r="AE55" s="16" t="n">
        <x:f>AD55*AC55</x:f>
        <x:v>830.4000000000001</x:v>
      </x:c>
      <x:c r="AF55" s="16" t="n">
        <x:f>Y55*4.4482216153*(C55*0.44704)/745.6998716</x:f>
        <x:v>503.3676180070855</x:v>
      </x:c>
      <x:c r="AG55" s="16" t="n">
        <x:f>AF55/AC55</x:f>
        <x:v>629.2095225088568</x:v>
      </x:c>
      <x:c r="AH55" s="16" t="n">
        <x:f>AE55-AF55</x:f>
        <x:v>327.03238199291457</x:v>
      </x:c>
      <x:c r="AI55" s="16" t="n">
        <x:f>AH55*745.6998716/(G55*4.4482216153)</x:f>
        <x:v>5.93330178767412</x:v>
      </x:c>
      <x:c r="AJ55" s="16" t="n">
        <x:f>AI55*196.8503937</x:f>
        <x:v>1167.9727928445643</x:v>
      </x:c>
      <x:c r="AK55" s="16" t="n">
        <x:f>AH55*745.6998716/(G55*0.45359237*C55*0.44704)</x:f>
        <x:v>0.41986438376454066</x:v>
      </x:c>
      <x:c r="AL55" s="16" t="n">
        <x:f>SQRT(2*G55*4.4482216153/(1.225*L55*'Assumptions'!$C$11))/0.44704</x:f>
        <x:v>98.46385799361909</x:v>
      </x:c>
      <x:c r="AM55" s="16" t="n">
        <x:f>MIN('Assumptions'!$C$12,'Assumptions'!$C$11*K55*L55/(G55*4.4482216153))</x:f>
        <x:v>3.442650221042815</x:v>
      </x:c>
      <x:c r="AN55" s="16" t="n">
        <x:f>IF(AE55*745.6998716/(C55*0.44704)-(V55+X55)*4.4482216153&lt;W55*4.4482216153,"n.a.",MIN(AM55,SQRT((AE55*745.6998716/(C55*0.44704)-(V55+X55)*4.4482216153)/(W55*4.4482216153))))</x:f>
        <x:v>1.5363410253018681</x:v>
      </x:c>
      <x:c r="AO55" s="16" t="n">
        <x:f>IF(AM55&gt;1,9.80665*SQRT(AM55^2-1)/(C55*0.44704)*180/PI(),"n.a.")</x:f>
        <x:v>13.356323564903066</x:v>
      </x:c>
      <x:c r="AP55" s="16" t="n">
        <x:f>IF(ISNUMBER(AN55),IF(AN55&gt;1,9.80665*SQRT(AN55^2-1)/(C55*0.44704)*180/PI(),"n.a."),"n.a.")</x:f>
        <x:v>4.728893811089542</x:v>
      </x:c>
      <x:c r="AQ55" s="16" t="n">
        <x:f>IF(AM55&gt;1,(C55*0.44704)^2/(9.80665*SQRT(AM55^2-1)),"n.a.")</x:f>
        <x:v>594.4889397302801</x:v>
      </x:c>
      <x:c r="AR55" s="16" t="n">
        <x:f>IF(ISNUMBER(AN55),IF(AN55&gt;1,(C55*0.44704)^2/(9.80665*SQRT(AN55^2-1)),"n.a."),"n.a.")</x:f>
        <x:v>1679.079072609658</x:v>
      </x:c>
      <x:c r="AS55" s="6" t="str">
        <x:f>IF(I55&gt;=AL55,"Within modeled CLmax","Below modeled stall")</x:f>
        <x:v>Within modeled CLmax</x:v>
      </x:c>
      <x:c r="AT55" s="6" t="str">
        <x:v>D: aero and eta estimated</x:v>
      </x:c>
      <x:c r="AU55" s="6" t="str">
        <x:v>Fixed BHP node snapshot; no source-backed 6G/CLmax/eta map</x:v>
      </x:c>
    </x:row>
    <x:row r="56">
      <x:c r="B56" s="10" t="n">
        <x:v>32000</x:v>
      </x:c>
      <x:c r="C56" s="10" t="n">
        <x:v>340</x:v>
      </x:c>
      <x:c r="D56" s="6" t="str">
        <x:v>67inHg</x:v>
      </x:c>
      <x:c r="E56" s="6" t="str">
        <x:v>high</x:v>
      </x:c>
      <x:c r="F56" s="6" t="n">
        <x:v>1038</x:v>
      </x:c>
      <x:c r="G56" s="6" t="n">
        <x:f>'Assumptions'!$C$5</x:f>
        <x:v>9240</x:v>
      </x:c>
      <x:c r="H56" s="11" t="n">
        <x:f>(101325*((288.15-0.0065*B56*0.3048)/288.15)^5.2558797)/(287.05287*(288.15-0.0065*B56*0.3048))</x:f>
        <x:v>0.4254605501986246</x:v>
      </x:c>
      <x:c r="I56" s="11" t="n">
        <x:f>C56*SQRT(H56/1.225)</x:f>
        <x:v>200.37360941340535</x:v>
      </x:c>
      <x:c r="J56" s="11" t="n">
        <x:f>C56*0.44704/SQRT(1.4*287.05287*(288.15-0.0065*B56*0.3048))</x:f>
        <x:v>0.505741905908089</x:v>
      </x:c>
      <x:c r="K56" s="12" t="n">
        <x:f>0.5*H56*(C56*0.44704)^2</x:f>
        <x:v>4914.506396584709</x:v>
      </x:c>
      <x:c r="L56" s="11" t="n">
        <x:f>'Assumptions'!$C$6*0.09290304</x:f>
        <x:v>21.646408320000003</x:v>
      </x:c>
      <x:c r="M56" s="11" t="n">
        <x:f>('Assumptions'!$C$7*0.3048)^2/L56</x:f>
        <x:v>5.875536480686696</x:v>
      </x:c>
      <x:c r="N56" s="11" t="n">
        <x:f>1/(PI()*M56*'Assumptions'!$C$9)</x:f>
        <x:v>0.06771932385027686</x:v>
      </x:c>
      <x:c r="O56" s="13" t="n">
        <x:f>G56/'Assumptions'!$C$6</x:f>
        <x:v>39.65665236051502</x:v>
      </x:c>
      <x:c r="P56" s="14" t="n">
        <x:f>F56/G56</x:f>
        <x:v>0.11233766233766233</x:v>
      </x:c>
      <x:c r="Q56" s="15" t="n">
        <x:f>G56*4.4482216153/(K56*L56)</x:f>
        <x:v>0.38636042607473253</x:v>
      </x:c>
      <x:c r="R56" s="15" t="n">
        <x:f>'Assumptions'!$C$8+'Assumptions'!$C$13</x:f>
        <x:v>0.016</x:v>
      </x:c>
      <x:c r="S56" s="15" t="n">
        <x:f>N56*Q56^2</x:f>
        <x:v>0.01010876000298794</x:v>
      </x:c>
      <x:c r="T56" s="15" t="n">
        <x:f>'Assumptions'!$C$14</x:f>
        <x:v>0</x:v>
      </x:c>
      <x:c r="U56" s="15" t="n">
        <x:f>SUM(R56:T56)</x:f>
        <x:v>0.026108760002987938</x:v>
      </x:c>
      <x:c r="V56" s="16" t="n">
        <x:f>K56*L56*R56/4.4482216153</x:f>
        <x:v>382.64788529714417</x:v>
      </x:c>
      <x:c r="W56" s="16" t="n">
        <x:f>K56*L56*S56/4.4482216153</x:f>
        <x:v>241.7559773824805</x:v>
      </x:c>
      <x:c r="X56" s="16" t="n">
        <x:f>K56*L56*T56/4.4482216153</x:f>
        <x:v>0</x:v>
      </x:c>
      <x:c r="Y56" s="16" t="n">
        <x:f>SUM(V56:X56)</x:f>
        <x:v>624.4038626796247</x:v>
      </x:c>
      <x:c r="Z56" s="9" t="n">
        <x:f>V56/Y56</x:f>
        <x:v>0.6128211373565396</x:v>
      </x:c>
      <x:c r="AA56" s="9" t="n">
        <x:f>W56/Y56</x:f>
        <x:v>0.38717886264346035</x:v>
      </x:c>
      <x:c r="AB56" s="13" t="n">
        <x:f>G56/Y56</x:f>
        <x:v>14.798114733542176</x:v>
      </x:c>
      <x:c r="AC56" s="11" t="n">
        <x:f>'Assumptions'!$C$10</x:f>
        <x:v>0.8</x:v>
      </x:c>
      <x:c r="AD56" s="16" t="n">
        <x:f>F56</x:f>
        <x:v>1038</x:v>
      </x:c>
      <x:c r="AE56" s="16" t="n">
        <x:f>AD56*AC56</x:f>
        <x:v>830.4000000000001</x:v>
      </x:c>
      <x:c r="AF56" s="16" t="n">
        <x:f>Y56*4.4482216153*(C56*0.44704)/745.6998716</x:f>
        <x:v>566.1261688210932</x:v>
      </x:c>
      <x:c r="AG56" s="16" t="n">
        <x:f>AF56/AC56</x:f>
        <x:v>707.6577110263664</x:v>
      </x:c>
      <x:c r="AH56" s="16" t="n">
        <x:f>AE56-AF56</x:f>
        <x:v>264.2738311789069</x:v>
      </x:c>
      <x:c r="AI56" s="16" t="n">
        <x:f>AH56*745.6998716/(G56*4.4482216153)</x:f>
        <x:v>4.794682365745876</x:v>
      </x:c>
      <x:c r="AJ56" s="16" t="n">
        <x:f>AI56*196.8503937</x:f>
        <x:v>943.8351113635232</x:v>
      </x:c>
      <x:c r="AK56" s="16" t="n">
        <x:f>AH56*745.6998716/(G56*0.45359237*C56*0.44704)</x:f>
        <x:v>0.3093536295111065</x:v>
      </x:c>
      <x:c r="AL56" s="16" t="n">
        <x:f>SQRT(2*G56*4.4482216153/(1.225*L56*'Assumptions'!$C$11))/0.44704</x:f>
        <x:v>98.46385799361909</x:v>
      </x:c>
      <x:c r="AM56" s="16" t="n">
        <x:f>MIN('Assumptions'!$C$12,'Assumptions'!$C$11*K56*L56/(G56*4.4482216153))</x:f>
        <x:v>4.141210879839223</x:v>
      </x:c>
      <x:c r="AN56" s="16" t="n">
        <x:f>IF(AE56*745.6998716/(C56*0.44704)-(V56+X56)*4.4482216153&lt;W56*4.4482216153,"n.a.",MIN(AM56,SQRT((AE56*745.6998716/(C56*0.44704)-(V56+X56)*4.4482216153)/(W56*4.4482216153))))</x:f>
        <x:v>1.4851506053673178</x:v>
      </x:c>
      <x:c r="AO56" s="16" t="n">
        <x:f>IF(AM56&gt;1,9.80665*SQRT(AM56^2-1)/(C56*0.44704)*180/PI(),"n.a.")</x:f>
        <x:v>14.855910077723722</x:v>
      </x:c>
      <x:c r="AP56" s="16" t="n">
        <x:f>IF(ISNUMBER(AN56),IF(AN56&gt;1,9.80665*SQRT(AN56^2-1)/(C56*0.44704)*180/PI(),"n.a."),"n.a.")</x:f>
        <x:v>4.059127115075814</x:v>
      </x:c>
      <x:c r="AQ56" s="16" t="n">
        <x:f>IF(AM56&gt;1,(C56*0.44704)^2/(9.80665*SQRT(AM56^2-1)),"n.a.")</x:f>
        <x:v>586.2038574168585</x:v>
      </x:c>
      <x:c r="AR56" s="16" t="n">
        <x:f>IF(ISNUMBER(AN56),IF(AN56&gt;1,(C56*0.44704)^2/(9.80665*SQRT(AN56^2-1)),"n.a."),"n.a.")</x:f>
        <x:v>2145.4346085037487</x:v>
      </x:c>
      <x:c r="AS56" s="6" t="str">
        <x:f>IF(I56&gt;=AL56,"Within modeled CLmax","Below modeled stall")</x:f>
        <x:v>Within modeled CLmax</x:v>
      </x:c>
      <x:c r="AT56" s="6" t="str">
        <x:v>D: aero and eta estimated</x:v>
      </x:c>
      <x:c r="AU56" s="6" t="str">
        <x:v>Fixed BHP node snapshot; no source-backed 6G/CLmax/eta map</x:v>
      </x:c>
    </x:row>
    <x:row r="57">
      <x:c r="B57" s="10" t="n">
        <x:v>32000</x:v>
      </x:c>
      <x:c r="C57" s="10" t="n">
        <x:v>370</x:v>
      </x:c>
      <x:c r="D57" s="6" t="str">
        <x:v>67inHg</x:v>
      </x:c>
      <x:c r="E57" s="6" t="str">
        <x:v>high</x:v>
      </x:c>
      <x:c r="F57" s="6" t="n">
        <x:v>1038</x:v>
      </x:c>
      <x:c r="G57" s="6" t="n">
        <x:f>'Assumptions'!$C$5</x:f>
        <x:v>9240</x:v>
      </x:c>
      <x:c r="H57" s="11" t="n">
        <x:f>(101325*((288.15-0.0065*B57*0.3048)/288.15)^5.2558797)/(287.05287*(288.15-0.0065*B57*0.3048))</x:f>
        <x:v>0.4254605501986246</x:v>
      </x:c>
      <x:c r="I57" s="11" t="n">
        <x:f>C57*SQRT(H57/1.225)</x:f>
        <x:v>218.0536337734117</x:v>
      </x:c>
      <x:c r="J57" s="11" t="n">
        <x:f>C57*0.44704/SQRT(1.4*287.05287*(288.15-0.0065*B57*0.3048))</x:f>
        <x:v>0.5503661917235086</x:v>
      </x:c>
      <x:c r="K57" s="12" t="n">
        <x:f>0.5*H57*(C57*0.44704)^2</x:f>
        <x:v>5820.033959277221</x:v>
      </x:c>
      <x:c r="L57" s="11" t="n">
        <x:f>'Assumptions'!$C$6*0.09290304</x:f>
        <x:v>21.646408320000003</x:v>
      </x:c>
      <x:c r="M57" s="11" t="n">
        <x:f>('Assumptions'!$C$7*0.3048)^2/L57</x:f>
        <x:v>5.875536480686696</x:v>
      </x:c>
      <x:c r="N57" s="11" t="n">
        <x:f>1/(PI()*M57*'Assumptions'!$C$9)</x:f>
        <x:v>0.06771932385027686</x:v>
      </x:c>
      <x:c r="O57" s="13" t="n">
        <x:f>G57/'Assumptions'!$C$6</x:f>
        <x:v>39.65665236051502</x:v>
      </x:c>
      <x:c r="P57" s="14" t="n">
        <x:f>F57/G57</x:f>
        <x:v>0.11233766233766233</x:v>
      </x:c>
      <x:c r="Q57" s="15" t="n">
        <x:f>G57*4.4482216153/(K57*L57)</x:f>
        <x:v>0.32624737220043154</x:v>
      </x:c>
      <x:c r="R57" s="15" t="n">
        <x:f>'Assumptions'!$C$8+'Assumptions'!$C$13</x:f>
        <x:v>0.016</x:v>
      </x:c>
      <x:c r="S57" s="15" t="n">
        <x:f>N57*Q57^2</x:f>
        <x:v>0.007207865230016465</x:v>
      </x:c>
      <x:c r="T57" s="15" t="n">
        <x:f>'Assumptions'!$C$14</x:f>
        <x:v>0</x:v>
      </x:c>
      <x:c r="U57" s="15" t="n">
        <x:f>SUM(R57:T57)</x:f>
        <x:v>0.023207865230016465</x:v>
      </x:c>
      <x:c r="V57" s="16" t="n">
        <x:f>K57*L57*R57/4.4482216153</x:f>
        <x:v>453.15307523511285</x:v>
      </x:c>
      <x:c r="W57" s="16" t="n">
        <x:f>K57*L57*S57/4.4482216153</x:f>
        <x:v>204.14164342888782</x:v>
      </x:c>
      <x:c r="X57" s="16" t="n">
        <x:f>K57*L57*T57/4.4482216153</x:f>
        <x:v>0</x:v>
      </x:c>
      <x:c r="Y57" s="16" t="n">
        <x:f>SUM(V57:X57)</x:f>
        <x:v>657.2947186640007</x:v>
      </x:c>
      <x:c r="Z57" s="9" t="n">
        <x:f>V57/Y57</x:f>
        <x:v>0.6894214457651195</x:v>
      </x:c>
      <x:c r="AA57" s="9" t="n">
        <x:f>W57/Y57</x:f>
        <x:v>0.31057855423488046</x:v>
      </x:c>
      <x:c r="AB57" s="13" t="n">
        <x:f>G57/Y57</x:f>
        <x:v>14.057620938718284</x:v>
      </x:c>
      <x:c r="AC57" s="11" t="n">
        <x:f>'Assumptions'!$C$10</x:f>
        <x:v>0.8</x:v>
      </x:c>
      <x:c r="AD57" s="16" t="n">
        <x:f>F57</x:f>
        <x:v>1038</x:v>
      </x:c>
      <x:c r="AE57" s="16" t="n">
        <x:f>AD57*AC57</x:f>
        <x:v>830.4000000000001</x:v>
      </x:c>
      <x:c r="AF57" s="16" t="n">
        <x:f>Y57*4.4482216153*(C57*0.44704)/745.6998716</x:f>
        <x:v>648.5307890721533</x:v>
      </x:c>
      <x:c r="AG57" s="16" t="n">
        <x:f>AF57/AC57</x:f>
        <x:v>810.6634863401916</x:v>
      </x:c>
      <x:c r="AH57" s="16" t="n">
        <x:f>AE57-AF57</x:f>
        <x:v>181.86921092784678</x:v>
      </x:c>
      <x:c r="AI57" s="16" t="n">
        <x:f>AH57*745.6998716/(G57*4.4482216153)</x:f>
        <x:v>3.299627112597229</x:v>
      </x:c>
      <x:c r="AJ57" s="16" t="n">
        <x:f>AI57*196.8503937</x:f>
        <x:v>649.5328961779588</x:v>
      </x:c>
      <x:c r="AK57" s="16" t="n">
        <x:f>AH57*745.6998716/(G57*0.45359237*C57*0.44704)</x:f>
        <x:v>0.19563088993813332</x:v>
      </x:c>
      <x:c r="AL57" s="16" t="n">
        <x:f>SQRT(2*G57*4.4482216153/(1.225*L57*'Assumptions'!$C$11))/0.44704</x:f>
        <x:v>98.46385799361909</x:v>
      </x:c>
      <x:c r="AM57" s="16" t="n">
        <x:f>MIN('Assumptions'!$C$12,'Assumptions'!$C$11*K57*L57/(G57*4.4482216153))</x:f>
        <x:v>4.904254060986069</x:v>
      </x:c>
      <x:c r="AN57" s="16" t="n">
        <x:f>IF(AE57*745.6998716/(C57*0.44704)-(V57+X57)*4.4482216153&lt;W57*4.4482216153,"n.a.",MIN(AM57,SQRT((AE57*745.6998716/(C57*0.44704)-(V57+X57)*4.4482216153)/(W57*4.4482216153))))</x:f>
        <x:v>1.3794695769030711</x:v>
      </x:c>
      <x:c r="AO57" s="16" t="n">
        <x:f>IF(AM57&gt;1,9.80665*SQRT(AM57^2-1)/(C57*0.44704)*180/PI(),"n.a.")</x:f>
        <x:v>16.30972931527165</x:v>
      </x:c>
      <x:c r="AP57" s="16" t="n">
        <x:f>IF(ISNUMBER(AN57),IF(AN57&gt;1,9.80665*SQRT(AN57^2-1)/(C57*0.44704)*180/PI(),"n.a."),"n.a.")</x:f>
        <x:v>3.2279274065665966</x:v>
      </x:c>
      <x:c r="AQ57" s="16" t="n">
        <x:f>IF(AM57&gt;1,(C57*0.44704)^2/(9.80665*SQRT(AM57^2-1)),"n.a.")</x:f>
        <x:v>581.0640243018426</x:v>
      </x:c>
      <x:c r="AR57" s="16" t="n">
        <x:f>IF(ISNUMBER(AN57),IF(AN57&gt;1,(C57*0.44704)^2/(9.80665*SQRT(AN57^2-1)),"n.a."),"n.a.")</x:f>
        <x:v>2935.938686826213</x:v>
      </x:c>
      <x:c r="AS57" s="6" t="str">
        <x:f>IF(I57&gt;=AL57,"Within modeled CLmax","Below modeled stall")</x:f>
        <x:v>Within modeled CLmax</x:v>
      </x:c>
      <x:c r="AT57" s="6" t="str">
        <x:v>D: aero and eta estimated</x:v>
      </x:c>
      <x:c r="AU57" s="6" t="str">
        <x:v>Fixed BHP node snapshot; no source-backed 6G/CLmax/eta map</x:v>
      </x:c>
    </x:row>
    <x:row r="58">
      <x:c r="B58" s="10" t="n">
        <x:v>32000</x:v>
      </x:c>
      <x:c r="C58" s="10" t="n">
        <x:v>400</x:v>
      </x:c>
      <x:c r="D58" s="6" t="str">
        <x:v>67inHg</x:v>
      </x:c>
      <x:c r="E58" s="6" t="str">
        <x:v>high</x:v>
      </x:c>
      <x:c r="F58" s="6" t="n">
        <x:v>1038</x:v>
      </x:c>
      <x:c r="G58" s="6" t="n">
        <x:f>'Assumptions'!$C$5</x:f>
        <x:v>9240</x:v>
      </x:c>
      <x:c r="H58" s="11" t="n">
        <x:f>(101325*((288.15-0.0065*B58*0.3048)/288.15)^5.2558797)/(287.05287*(288.15-0.0065*B58*0.3048))</x:f>
        <x:v>0.4254605501986246</x:v>
      </x:c>
      <x:c r="I58" s="11" t="n">
        <x:f>C58*SQRT(H58/1.225)</x:f>
        <x:v>235.73365813341803</x:v>
      </x:c>
      <x:c r="J58" s="11" t="n">
        <x:f>C58*0.44704/SQRT(1.4*287.05287*(288.15-0.0065*B58*0.3048))</x:f>
        <x:v>0.5949904775389283</x:v>
      </x:c>
      <x:c r="K58" s="12" t="n">
        <x:f>0.5*H58*(C58*0.44704)^2</x:f>
        <x:v>6802.084977971918</x:v>
      </x:c>
      <x:c r="L58" s="11" t="n">
        <x:f>'Assumptions'!$C$6*0.09290304</x:f>
        <x:v>21.646408320000003</x:v>
      </x:c>
      <x:c r="M58" s="11" t="n">
        <x:f>('Assumptions'!$C$7*0.3048)^2/L58</x:f>
        <x:v>5.875536480686696</x:v>
      </x:c>
      <x:c r="N58" s="11" t="n">
        <x:f>1/(PI()*M58*'Assumptions'!$C$9)</x:f>
        <x:v>0.06771932385027686</x:v>
      </x:c>
      <x:c r="O58" s="13" t="n">
        <x:f>G58/'Assumptions'!$C$6</x:f>
        <x:v>39.65665236051502</x:v>
      </x:c>
      <x:c r="P58" s="14" t="n">
        <x:f>F58/G58</x:f>
        <x:v>0.11233766233766233</x:v>
      </x:c>
      <x:c r="Q58" s="15" t="n">
        <x:f>G58*4.4482216153/(K58*L58)</x:f>
        <x:v>0.27914540783899416</x:v>
      </x:c>
      <x:c r="R58" s="15" t="n">
        <x:f>'Assumptions'!$C$8+'Assumptions'!$C$13</x:f>
        <x:v>0.016</x:v>
      </x:c>
      <x:c r="S58" s="15" t="n">
        <x:f>N58*Q58^2</x:f>
        <x:v>0.005276835901309719</x:v>
      </x:c>
      <x:c r="T58" s="15" t="n">
        <x:f>'Assumptions'!$C$14</x:f>
        <x:v>0</x:v>
      </x:c>
      <x:c r="U58" s="15" t="n">
        <x:f>SUM(R58:T58)</x:f>
        <x:v>0.02127683590130972</x:v>
      </x:c>
      <x:c r="V58" s="16" t="n">
        <x:f>K58*L58*R58/4.4482216153</x:f>
        <x:v>529.616450238262</x:v>
      </x:c>
      <x:c r="W58" s="16" t="n">
        <x:f>K58*L58*S58/4.4482216153</x:f>
        <x:v>174.66869365884207</x:v>
      </x:c>
      <x:c r="X58" s="16" t="n">
        <x:f>K58*L58*T58/4.4482216153</x:f>
        <x:v>0</x:v>
      </x:c>
      <x:c r="Y58" s="16" t="n">
        <x:f>SUM(V58:X58)</x:f>
        <x:v>704.285143897104</x:v>
      </x:c>
      <x:c r="Z58" s="9" t="n">
        <x:f>V58/Y58</x:f>
        <x:v>0.7519915119999165</x:v>
      </x:c>
      <x:c r="AA58" s="9" t="n">
        <x:f>W58/Y58</x:f>
        <x:v>0.2480084880000836</x:v>
      </x:c>
      <x:c r="AB58" s="13" t="n">
        <x:f>G58/Y58</x:f>
        <x:v>13.119686081792409</x:v>
      </x:c>
      <x:c r="AC58" s="11" t="n">
        <x:f>'Assumptions'!$C$10</x:f>
        <x:v>0.8</x:v>
      </x:c>
      <x:c r="AD58" s="16" t="n">
        <x:f>F58</x:f>
        <x:v>1038</x:v>
      </x:c>
      <x:c r="AE58" s="16" t="n">
        <x:f>AD58*AC58</x:f>
        <x:v>830.4000000000001</x:v>
      </x:c>
      <x:c r="AF58" s="16" t="n">
        <x:f>Y58*4.4482216153*(C58*0.44704)/745.6998716</x:f>
        <x:v>751.237486812387</x:v>
      </x:c>
      <x:c r="AG58" s="16" t="n">
        <x:f>AF58/AC58</x:f>
        <x:v>939.0468585154838</x:v>
      </x:c>
      <x:c r="AH58" s="16" t="n">
        <x:f>AE58-AF58</x:f>
        <x:v>79.16251318761306</x:v>
      </x:c>
      <x:c r="AI58" s="16" t="n">
        <x:f>AH58*745.6998716/(G58*4.4482216153)</x:f>
        <x:v>1.4362341678538026</x:v>
      </x:c>
      <x:c r="AJ58" s="16" t="n">
        <x:f>AI58*196.8503937</x:f>
        <x:v>282.72326138741295</x:v>
      </x:c>
      <x:c r="AK58" s="16" t="n">
        <x:f>AH58*745.6998716/(G58*0.45359237*C58*0.44704)</x:f>
        <x:v>0.0787661383897893</x:v>
      </x:c>
      <x:c r="AL58" s="16" t="n">
        <x:f>SQRT(2*G58*4.4482216153/(1.225*L58*'Assumptions'!$C$11))/0.44704</x:f>
        <x:v>98.46385799361909</x:v>
      </x:c>
      <x:c r="AM58" s="16" t="n">
        <x:f>MIN('Assumptions'!$C$12,'Assumptions'!$C$11*K58*L58/(G58*4.4482216153))</x:f>
        <x:v>5.731779764483355</x:v>
      </x:c>
      <x:c r="AN58" s="16" t="n">
        <x:f>IF(AE58*745.6998716/(C58*0.44704)-(V58+X58)*4.4482216153&lt;W58*4.4482216153,"n.a.",MIN(AM58,SQRT((AE58*745.6998716/(C58*0.44704)-(V58+X58)*4.4482216153)/(W58*4.4482216153))))</x:f>
        <x:v>1.1936872637299374</x:v>
      </x:c>
      <x:c r="AO58" s="16" t="n">
        <x:f>IF(AM58&gt;1,9.80665*SQRT(AM58^2-1)/(C58*0.44704)*180/PI(),"n.a.")</x:f>
        <x:v>17.734303769164935</x:v>
      </x:c>
      <x:c r="AP58" s="16" t="n">
        <x:f>IF(ISNUMBER(AN58),IF(AN58&gt;1,9.80665*SQRT(AN58^2-1)/(C58*0.44704)*180/PI(),"n.a."),"n.a.")</x:f>
        <x:v>2.048211598108625</x:v>
      </x:c>
      <x:c r="AQ58" s="16" t="n">
        <x:f>IF(AM58&gt;1,(C58*0.44704)^2/(9.80665*SQRT(AM58^2-1)),"n.a.")</x:f>
        <x:v>577.7166243890138</x:v>
      </x:c>
      <x:c r="AR58" s="16" t="n">
        <x:f>IF(ISNUMBER(AN58),IF(AN58&gt;1,(C58*0.44704)^2/(9.80665*SQRT(AN58^2-1)),"n.a."),"n.a.")</x:f>
        <x:v>5002.120932657649</x:v>
      </x:c>
      <x:c r="AS58" s="6" t="str">
        <x:f>IF(I58&gt;=AL58,"Within modeled CLmax","Below modeled stall")</x:f>
        <x:v>Within modeled CLmax</x:v>
      </x:c>
      <x:c r="AT58" s="6" t="str">
        <x:v>D: aero and eta estimated</x:v>
      </x:c>
      <x:c r="AU58" s="6" t="str">
        <x:v>Fixed BHP node snapshot; no source-backed 6G/CLmax/eta map</x:v>
      </x:c>
    </x:row>
    <x:row r="59">
      <x:c r="B59" s="10" t="n">
        <x:v>32000</x:v>
      </x:c>
      <x:c r="C59" s="10" t="n">
        <x:v>430</x:v>
      </x:c>
      <x:c r="D59" s="6" t="str">
        <x:v>67inHg</x:v>
      </x:c>
      <x:c r="E59" s="6" t="str">
        <x:v>high</x:v>
      </x:c>
      <x:c r="F59" s="6" t="n">
        <x:v>1038</x:v>
      </x:c>
      <x:c r="G59" s="6" t="n">
        <x:f>'Assumptions'!$C$5</x:f>
        <x:v>9240</x:v>
      </x:c>
      <x:c r="H59" s="11" t="n">
        <x:f>(101325*((288.15-0.0065*B59*0.3048)/288.15)^5.2558797)/(287.05287*(288.15-0.0065*B59*0.3048))</x:f>
        <x:v>0.4254605501986246</x:v>
      </x:c>
      <x:c r="I59" s="11" t="n">
        <x:f>C59*SQRT(H59/1.225)</x:f>
        <x:v>253.4136824934244</x:v>
      </x:c>
      <x:c r="J59" s="11" t="n">
        <x:f>C59*0.44704/SQRT(1.4*287.05287*(288.15-0.0065*B59*0.3048))</x:f>
        <x:v>0.639614763354348</x:v>
      </x:c>
      <x:c r="K59" s="12" t="n">
        <x:f>0.5*H59*(C59*0.44704)^2</x:f>
        <x:v>7860.659452668797</x:v>
      </x:c>
      <x:c r="L59" s="11" t="n">
        <x:f>'Assumptions'!$C$6*0.09290304</x:f>
        <x:v>21.646408320000003</x:v>
      </x:c>
      <x:c r="M59" s="11" t="n">
        <x:f>('Assumptions'!$C$7*0.3048)^2/L59</x:f>
        <x:v>5.875536480686696</x:v>
      </x:c>
      <x:c r="N59" s="11" t="n">
        <x:f>1/(PI()*M59*'Assumptions'!$C$9)</x:f>
        <x:v>0.06771932385027686</x:v>
      </x:c>
      <x:c r="O59" s="13" t="n">
        <x:f>G59/'Assumptions'!$C$6</x:f>
        <x:v>39.65665236051502</x:v>
      </x:c>
      <x:c r="P59" s="14" t="n">
        <x:f>F59/G59</x:f>
        <x:v>0.11233766233766233</x:v>
      </x:c>
      <x:c r="Q59" s="15" t="n">
        <x:f>G59*4.4482216153/(K59*L59)</x:f>
        <x:v>0.2415536249553222</x:v>
      </x:c>
      <x:c r="R59" s="15" t="n">
        <x:f>'Assumptions'!$C$8+'Assumptions'!$C$13</x:f>
        <x:v>0.016</x:v>
      </x:c>
      <x:c r="S59" s="15" t="n">
        <x:f>N59*Q59^2</x:f>
        <x:v>0.003951297518443714</x:v>
      </x:c>
      <x:c r="T59" s="15" t="n">
        <x:f>'Assumptions'!$C$14</x:f>
        <x:v>0</x:v>
      </x:c>
      <x:c r="U59" s="15" t="n">
        <x:f>SUM(R59:T59)</x:f>
        <x:v>0.019951297518443715</x:v>
      </x:c>
      <x:c r="V59" s="16" t="n">
        <x:f>K59*L59*R59/4.4482216153</x:f>
        <x:v>612.0380103065914</x:v>
      </x:c>
      <x:c r="W59" s="16" t="n">
        <x:f>K59*L59*S59/4.4482216153</x:f>
        <x:v>151.14651695735392</x:v>
      </x:c>
      <x:c r="X59" s="16" t="n">
        <x:f>K59*L59*T59/4.4482216153</x:f>
        <x:v>0</x:v>
      </x:c>
      <x:c r="Y59" s="16" t="n">
        <x:f>SUM(V59:X59)</x:f>
        <x:v>763.1845272639454</x:v>
      </x:c>
      <x:c r="Z59" s="9" t="n">
        <x:f>V59/Y59</x:f>
        <x:v>0.8019528547057659</x:v>
      </x:c>
      <x:c r="AA59" s="9" t="n">
        <x:f>W59/Y59</x:f>
        <x:v>0.19804714529423406</x:v>
      </x:c>
      <x:c r="AB59" s="13" t="n">
        <x:f>G59/Y59</x:f>
        <x:v>12.10716369359041</x:v>
      </x:c>
      <x:c r="AC59" s="11" t="n">
        <x:f>'Assumptions'!$C$10</x:f>
        <x:v>0.8</x:v>
      </x:c>
      <x:c r="AD59" s="16" t="n">
        <x:f>F59</x:f>
        <x:v>1038</x:v>
      </x:c>
      <x:c r="AE59" s="16" t="n">
        <x:f>AD59*AC59</x:f>
        <x:v>830.4000000000001</x:v>
      </x:c>
      <x:c r="AF59" s="16" t="n">
        <x:f>Y59*4.4482216153*(C59*0.44704)/745.6998716</x:f>
        <x:v>875.1182579162881</x:v>
      </x:c>
      <x:c r="AG59" s="16" t="n">
        <x:f>AF59/AC59</x:f>
        <x:v>1093.8978223953602</x:v>
      </x:c>
      <x:c r="AH59" s="16" t="n">
        <x:f>AE59-AF59</x:f>
        <x:v>-44.71825791628805</x:v>
      </x:c>
      <x:c r="AI59" s="16" t="n">
        <x:f>AH59*745.6998716/(G59*4.4482216153)</x:f>
        <x:v>-0.8113169650647402</x:v>
      </x:c>
      <x:c r="AJ59" s="16" t="n">
        <x:f>AI59*196.8503937</x:f>
        <x:v>-159.70806398848325</x:v>
      </x:c>
      <x:c r="AK59" s="16" t="n">
        <x:f>AH59*745.6998716/(G59*0.45359237*C59*0.44704)</x:f>
        <x:v>-0.041390092117675255</x:v>
      </x:c>
      <x:c r="AL59" s="16" t="n">
        <x:f>SQRT(2*G59*4.4482216153/(1.225*L59*'Assumptions'!$C$11))/0.44704</x:f>
        <x:v>98.46385799361909</x:v>
      </x:c>
      <x:c r="AM59" s="16" t="n">
        <x:f>MIN('Assumptions'!$C$12,'Assumptions'!$C$11*K59*L59/(G59*4.4482216153))</x:f>
        <x:v>6</x:v>
      </x:c>
      <x:c r="AN59" s="16" t="str">
        <x:f>IF(AE59*745.6998716/(C59*0.44704)-(V59+X59)*4.4482216153&lt;W59*4.4482216153,"n.a.",MIN(AM59,SQRT((AE59*745.6998716/(C59*0.44704)-(V59+X59)*4.4482216153)/(W59*4.4482216153))))</x:f>
        <x:v>n.a.</x:v>
      </x:c>
      <x:c r="AO59" s="16" t="n">
        <x:f>IF(AM59&gt;1,9.80665*SQRT(AM59^2-1)/(C59*0.44704)*180/PI(),"n.a.")</x:f>
        <x:v>17.2926873738721</x:v>
      </x:c>
      <x:c r="AP59" s="16" t="str">
        <x:f>IF(ISNUMBER(AN59),IF(AN59&gt;1,9.80665*SQRT(AN59^2-1)/(C59*0.44704)*180/PI(),"n.a."),"n.a.")</x:f>
        <x:v>n.a.</x:v>
      </x:c>
      <x:c r="AQ59" s="16" t="n">
        <x:f>IF(AM59&gt;1,(C59*0.44704)^2/(9.80665*SQRT(AM59^2-1)),"n.a.")</x:f>
        <x:v>636.9054751003122</x:v>
      </x:c>
      <x:c r="AR59" s="16" t="str">
        <x:f>IF(ISNUMBER(AN59),IF(AN59&gt;1,(C59*0.44704)^2/(9.80665*SQRT(AN59^2-1)),"n.a."),"n.a.")</x:f>
        <x:v>n.a.</x:v>
      </x:c>
      <x:c r="AS59" s="6" t="str">
        <x:f>IF(I59&gt;=AL59,"Within modeled CLmax","Below modeled stall")</x:f>
        <x:v>Within modeled CLmax</x:v>
      </x:c>
      <x:c r="AT59" s="6" t="str">
        <x:v>D: aero and eta estimated</x:v>
      </x:c>
      <x:c r="AU59" s="6" t="str">
        <x:v>Fixed BHP node snapshot; no source-backed 6G/CLmax/eta map</x:v>
      </x:c>
    </x:row>
    <x:row r="60">
      <x:c r="B60" s="10" t="n">
        <x:v>20800</x:v>
      </x:c>
      <x:c r="C60" s="10" t="n">
        <x:v>130</x:v>
      </x:c>
      <x:c r="D60" s="6" t="str">
        <x:v>75inHg</x:v>
      </x:c>
      <x:c r="E60" s="6" t="str">
        <x:v>high</x:v>
      </x:c>
      <x:c r="F60" s="6" t="n">
        <x:v>1572</x:v>
      </x:c>
      <x:c r="G60" s="6" t="n">
        <x:f>'Assumptions'!$C$5</x:f>
        <x:v>9240</x:v>
      </x:c>
      <x:c r="H60" s="11" t="n">
        <x:f>(101325*((288.15-0.0065*B60*0.3048)/288.15)^5.2558797)/(287.05287*(288.15-0.0065*B60*0.3048))</x:f>
        <x:v>0.6351616440492905</x:v>
      </x:c>
      <x:c r="I60" s="11" t="n">
        <x:f>C60*SQRT(H60/1.225)</x:f>
        <x:v>93.6089642682467</x:v>
      </x:c>
      <x:c r="J60" s="11" t="n">
        <x:f>C60*0.44704/SQRT(1.4*287.05287*(288.15-0.0065*B60*0.3048))</x:f>
        <x:v>0.1844795097343284</x:v>
      </x:c>
      <x:c r="K60" s="12" t="n">
        <x:f>0.5*H60*(C60*0.44704)^2</x:f>
        <x:v>1072.5899959595788</x:v>
      </x:c>
      <x:c r="L60" s="11" t="n">
        <x:f>'Assumptions'!$C$6*0.09290304</x:f>
        <x:v>21.646408320000003</x:v>
      </x:c>
      <x:c r="M60" s="11" t="n">
        <x:f>('Assumptions'!$C$7*0.3048)^2/L60</x:f>
        <x:v>5.875536480686696</x:v>
      </x:c>
      <x:c r="N60" s="11" t="n">
        <x:f>1/(PI()*M60*'Assumptions'!$C$9)</x:f>
        <x:v>0.06771932385027686</x:v>
      </x:c>
      <x:c r="O60" s="13" t="n">
        <x:f>G60/'Assumptions'!$C$6</x:f>
        <x:v>39.65665236051502</x:v>
      </x:c>
      <x:c r="P60" s="14" t="n">
        <x:f>F60/G60</x:f>
        <x:v>0.17012987012987013</x:v>
      </x:c>
      <x:c r="Q60" s="15" t="n">
        <x:f>G60*4.4482216153/(K60*L60)</x:f>
        <x:v>1.7702671034450175</x:v>
      </x:c>
      <x:c r="R60" s="15" t="n">
        <x:f>'Assumptions'!$C$8+'Assumptions'!$C$13</x:f>
        <x:v>0.016</x:v>
      </x:c>
      <x:c r="S60" s="15" t="n">
        <x:f>N60*Q60^2</x:f>
        <x:v>0.21222190627093587</x:v>
      </x:c>
      <x:c r="T60" s="15" t="n">
        <x:f>'Assumptions'!$C$14</x:f>
        <x:v>0</x:v>
      </x:c>
      <x:c r="U60" s="15" t="n">
        <x:f>SUM(R60:T60)</x:f>
        <x:v>0.22822190627093586</x:v>
      </x:c>
      <x:c r="V60" s="16" t="n">
        <x:f>K60*L60*R60/4.4482216153</x:f>
        <x:v>83.512821151281</x:v>
      </x:c>
      <x:c r="W60" s="16" t="n">
        <x:f>K60*L60*S60/4.4482216153</x:f>
        <x:v>1107.7031314242868</x:v>
      </x:c>
      <x:c r="X60" s="16" t="n">
        <x:f>K60*L60*T60/4.4482216153</x:f>
        <x:v>0</x:v>
      </x:c>
      <x:c r="Y60" s="16" t="n">
        <x:f>SUM(V60:X60)</x:f>
        <x:v>1191.2159525755678</x:v>
      </x:c>
      <x:c r="Z60" s="9" t="n">
        <x:f>V60/Y60</x:f>
        <x:v>0.07010720513834216</x:v>
      </x:c>
      <x:c r="AA60" s="9" t="n">
        <x:f>W60/Y60</x:f>
        <x:v>0.9298927948616578</x:v>
      </x:c>
      <x:c r="AB60" s="13" t="n">
        <x:f>G60/Y60</x:f>
        <x:v>7.756779935679914</x:v>
      </x:c>
      <x:c r="AC60" s="11" t="n">
        <x:f>'Assumptions'!$C$10</x:f>
        <x:v>0.8</x:v>
      </x:c>
      <x:c r="AD60" s="16" t="n">
        <x:f>F60</x:f>
        <x:v>1572</x:v>
      </x:c>
      <x:c r="AE60" s="16" t="n">
        <x:f>AD60*AC60</x:f>
        <x:v>1257.6000000000001</x:v>
      </x:c>
      <x:c r="AF60" s="16" t="n">
        <x:f>Y60*4.4482216153*(C60*0.44704)/745.6998716</x:f>
        <x:v>412.95486355337874</x:v>
      </x:c>
      <x:c r="AG60" s="16" t="n">
        <x:f>AF60/AC60</x:f>
        <x:v>516.1935794417234</x:v>
      </x:c>
      <x:c r="AH60" s="16" t="n">
        <x:f>AE60-AF60</x:f>
        <x:v>844.6451364466213</x:v>
      </x:c>
      <x:c r="AI60" s="16" t="n">
        <x:f>AH60*745.6998716/(G60*4.4482216153)</x:f>
        <x:v>15.324276047188404</x:v>
      </x:c>
      <x:c r="AJ60" s="16" t="n">
        <x:f>AI60*196.8503937</x:f>
        <x:v>3016.589773056517</x:v>
      </x:c>
      <x:c r="AK60" s="16" t="n">
        <x:f>AH60*745.6998716/(G60*0.45359237*C60*0.44704)</x:f>
        <x:v>2.58589511349001</x:v>
      </x:c>
      <x:c r="AL60" s="16" t="n">
        <x:f>SQRT(2*G60*4.4482216153/(1.225*L60*'Assumptions'!$C$11))/0.44704</x:f>
        <x:v>98.46385799361909</x:v>
      </x:c>
      <x:c r="AM60" s="16" t="n">
        <x:f>MIN('Assumptions'!$C$12,'Assumptions'!$C$11*K60*L60/(G60*4.4482216153))</x:f>
        <x:v>0.9038184107281493</x:v>
      </x:c>
      <x:c r="AN60" s="16" t="n">
        <x:f>IF(AE60*745.6998716/(C60*0.44704)-(V60+X60)*4.4482216153&lt;W60*4.4482216153,"n.a.",MIN(AM60,SQRT((AE60*745.6998716/(C60*0.44704)-(V60+X60)*4.4482216153)/(W60*4.4482216153))))</x:f>
        <x:v>0.9038184107281493</x:v>
      </x:c>
      <x:c r="AO60" s="16" t="str">
        <x:f>IF(AM60&gt;1,9.80665*SQRT(AM60^2-1)/(C60*0.44704)*180/PI(),"n.a.")</x:f>
        <x:v>n.a.</x:v>
      </x:c>
      <x:c r="AP60" s="16" t="str">
        <x:f>IF(ISNUMBER(AN60),IF(AN60&gt;1,9.80665*SQRT(AN60^2-1)/(C60*0.44704)*180/PI(),"n.a."),"n.a.")</x:f>
        <x:v>n.a.</x:v>
      </x:c>
      <x:c r="AQ60" s="16" t="str">
        <x:f>IF(AM60&gt;1,(C60*0.44704)^2/(9.80665*SQRT(AM60^2-1)),"n.a.")</x:f>
        <x:v>n.a.</x:v>
      </x:c>
      <x:c r="AR60" s="16" t="str">
        <x:f>IF(ISNUMBER(AN60),IF(AN60&gt;1,(C60*0.44704)^2/(9.80665*SQRT(AN60^2-1)),"n.a."),"n.a.")</x:f>
        <x:v>n.a.</x:v>
      </x:c>
      <x:c r="AS60" s="6" t="str">
        <x:f>IF(I60&gt;=AL60,"Within modeled CLmax","Below modeled stall")</x:f>
        <x:v>Below modeled stall</x:v>
      </x:c>
      <x:c r="AT60" s="6" t="str">
        <x:v>D: aero and eta estimated</x:v>
      </x:c>
      <x:c r="AU60" s="6" t="str">
        <x:v>Fixed BHP node snapshot; no source-backed 6G/CLmax/eta map</x:v>
      </x:c>
    </x:row>
    <x:row r="61">
      <x:c r="B61" s="10" t="n">
        <x:v>20800</x:v>
      </x:c>
      <x:c r="C61" s="10" t="n">
        <x:v>160</x:v>
      </x:c>
      <x:c r="D61" s="6" t="str">
        <x:v>75inHg</x:v>
      </x:c>
      <x:c r="E61" s="6" t="str">
        <x:v>high</x:v>
      </x:c>
      <x:c r="F61" s="6" t="n">
        <x:v>1572</x:v>
      </x:c>
      <x:c r="G61" s="6" t="n">
        <x:f>'Assumptions'!$C$5</x:f>
        <x:v>9240</x:v>
      </x:c>
      <x:c r="H61" s="11" t="n">
        <x:f>(101325*((288.15-0.0065*B61*0.3048)/288.15)^5.2558797)/(287.05287*(288.15-0.0065*B61*0.3048))</x:f>
        <x:v>0.6351616440492905</x:v>
      </x:c>
      <x:c r="I61" s="11" t="n">
        <x:f>C61*SQRT(H61/1.225)</x:f>
        <x:v>115.2110329455344</x:v>
      </x:c>
      <x:c r="J61" s="11" t="n">
        <x:f>C61*0.44704/SQRT(1.4*287.05287*(288.15-0.0065*B61*0.3048))</x:f>
        <x:v>0.22705170428840415</x:v>
      </x:c>
      <x:c r="K61" s="12" t="n">
        <x:f>0.5*H61*(C61*0.44704)^2</x:f>
        <x:v>1624.7517098559297</x:v>
      </x:c>
      <x:c r="L61" s="11" t="n">
        <x:f>'Assumptions'!$C$6*0.09290304</x:f>
        <x:v>21.646408320000003</x:v>
      </x:c>
      <x:c r="M61" s="11" t="n">
        <x:f>('Assumptions'!$C$7*0.3048)^2/L61</x:f>
        <x:v>5.875536480686696</x:v>
      </x:c>
      <x:c r="N61" s="11" t="n">
        <x:f>1/(PI()*M61*'Assumptions'!$C$9)</x:f>
        <x:v>0.06771932385027686</x:v>
      </x:c>
      <x:c r="O61" s="13" t="n">
        <x:f>G61/'Assumptions'!$C$6</x:f>
        <x:v>39.65665236051502</x:v>
      </x:c>
      <x:c r="P61" s="14" t="n">
        <x:f>F61/G61</x:f>
        <x:v>0.17012987012987013</x:v>
      </x:c>
      <x:c r="Q61" s="15" t="n">
        <x:f>G61*4.4482216153/(K61*L61)</x:f>
        <x:v>1.168652892508625</x:v>
      </x:c>
      <x:c r="R61" s="15" t="n">
        <x:f>'Assumptions'!$C$8+'Assumptions'!$C$13</x:f>
        <x:v>0.016</x:v>
      </x:c>
      <x:c r="S61" s="15" t="n">
        <x:f>N61*Q61^2</x:f>
        <x:v>0.09248763832098696</x:v>
      </x:c>
      <x:c r="T61" s="15" t="n">
        <x:f>'Assumptions'!$C$14</x:f>
        <x:v>0</x:v>
      </x:c>
      <x:c r="U61" s="15" t="n">
        <x:f>SUM(R61:T61)</x:f>
        <x:v>0.10848763832098696</x:v>
      </x:c>
      <x:c r="V61" s="16" t="n">
        <x:f>K61*L61*R61/4.4482216153</x:f>
        <x:v>126.50462848951439</x:v>
      </x:c>
      <x:c r="W61" s="16" t="n">
        <x:f>K61*L61*S61/4.4482216153</x:f>
        <x:v>731.2571453543144</x:v>
      </x:c>
      <x:c r="X61" s="16" t="n">
        <x:f>K61*L61*T61/4.4482216153</x:f>
        <x:v>0</x:v>
      </x:c>
      <x:c r="Y61" s="16" t="n">
        <x:f>SUM(V61:X61)</x:f>
        <x:v>857.7617738438288</x:v>
      </x:c>
      <x:c r="Z61" s="9" t="n">
        <x:f>V61/Y61</x:f>
        <x:v>0.1474822408121755</x:v>
      </x:c>
      <x:c r="AA61" s="9" t="n">
        <x:f>W61/Y61</x:f>
        <x:v>0.8525177591878245</x:v>
      </x:c>
      <x:c r="AB61" s="13" t="n">
        <x:f>G61/Y61</x:f>
        <x:v>10.772221707425157</x:v>
      </x:c>
      <x:c r="AC61" s="11" t="n">
        <x:f>'Assumptions'!$C$10</x:f>
        <x:v>0.8</x:v>
      </x:c>
      <x:c r="AD61" s="16" t="n">
        <x:f>F61</x:f>
        <x:v>1572</x:v>
      </x:c>
      <x:c r="AE61" s="16" t="n">
        <x:f>AD61*AC61</x:f>
        <x:v>1257.6000000000001</x:v>
      </x:c>
      <x:c r="AF61" s="16" t="n">
        <x:f>Y61*4.4482216153*(C61*0.44704)/745.6998716</x:f>
        <x:v>365.9783568345819</x:v>
      </x:c>
      <x:c r="AG61" s="16" t="n">
        <x:f>AF61/AC61</x:f>
        <x:v>457.47294604322735</x:v>
      </x:c>
      <x:c r="AH61" s="16" t="n">
        <x:f>AE61-AF61</x:f>
        <x:v>891.6216431654182</x:v>
      </x:c>
      <x:c r="AI61" s="16" t="n">
        <x:f>AH61*745.6998716/(G61*4.4482216153)</x:f>
        <x:v>16.1765640976707</x:v>
      </x:c>
      <x:c r="AJ61" s="16" t="n">
        <x:f>AI61*196.8503937</x:f>
        <x:v>3184.3630113397626</x:v>
      </x:c>
      <x:c r="AK61" s="16" t="n">
        <x:f>AH61*745.6998716/(G61*0.45359237*C61*0.44704)</x:f>
        <x:v>2.2178930060765123</x:v>
      </x:c>
      <x:c r="AL61" s="16" t="n">
        <x:f>SQRT(2*G61*4.4482216153/(1.225*L61*'Assumptions'!$C$11))/0.44704</x:f>
        <x:v>98.46385799361909</x:v>
      </x:c>
      <x:c r="AM61" s="16" t="n">
        <x:f>MIN('Assumptions'!$C$12,'Assumptions'!$C$11*K61*L61/(G61*4.4482216153))</x:f>
        <x:v>1.3690977109254803</x:v>
      </x:c>
      <x:c r="AN61" s="16" t="n">
        <x:f>IF(AE61*745.6998716/(C61*0.44704)-(V61+X61)*4.4482216153&lt;W61*4.4482216153,"n.a.",MIN(AM61,SQRT((AE61*745.6998716/(C61*0.44704)-(V61+X61)*4.4482216153)/(W61*4.4482216153))))</x:f>
        <x:v>1.3690977109254803</x:v>
      </x:c>
      <x:c r="AO61" s="16" t="n">
        <x:f>IF(AM61&gt;1,9.80665*SQRT(AM61^2-1)/(C61*0.44704)*180/PI(),"n.a.")</x:f>
        <x:v>7.345800058685132</x:v>
      </x:c>
      <x:c r="AP61" s="16" t="n">
        <x:f>IF(ISNUMBER(AN61),IF(AN61&gt;1,9.80665*SQRT(AN61^2-1)/(C61*0.44704)*180/PI(),"n.a."),"n.a.")</x:f>
        <x:v>7.345800058685132</x:v>
      </x:c>
      <x:c r="AQ61" s="16" t="n">
        <x:f>IF(AM61&gt;1,(C61*0.44704)^2/(9.80665*SQRT(AM61^2-1)),"n.a.")</x:f>
        <x:v>557.8916947132489</x:v>
      </x:c>
      <x:c r="AR61" s="16" t="n">
        <x:f>IF(ISNUMBER(AN61),IF(AN61&gt;1,(C61*0.44704)^2/(9.80665*SQRT(AN61^2-1)),"n.a."),"n.a.")</x:f>
        <x:v>557.8916947132489</x:v>
      </x:c>
      <x:c r="AS61" s="6" t="str">
        <x:f>IF(I61&gt;=AL61,"Within modeled CLmax","Below modeled stall")</x:f>
        <x:v>Within modeled CLmax</x:v>
      </x:c>
      <x:c r="AT61" s="6" t="str">
        <x:v>D: aero and eta estimated</x:v>
      </x:c>
      <x:c r="AU61" s="6" t="str">
        <x:v>Fixed BHP node snapshot; no source-backed 6G/CLmax/eta map</x:v>
      </x:c>
    </x:row>
    <x:row r="62">
      <x:c r="B62" s="10" t="n">
        <x:v>20800</x:v>
      </x:c>
      <x:c r="C62" s="10" t="n">
        <x:v>190</x:v>
      </x:c>
      <x:c r="D62" s="6" t="str">
        <x:v>75inHg</x:v>
      </x:c>
      <x:c r="E62" s="6" t="str">
        <x:v>high</x:v>
      </x:c>
      <x:c r="F62" s="6" t="n">
        <x:v>1572</x:v>
      </x:c>
      <x:c r="G62" s="6" t="n">
        <x:f>'Assumptions'!$C$5</x:f>
        <x:v>9240</x:v>
      </x:c>
      <x:c r="H62" s="11" t="n">
        <x:f>(101325*((288.15-0.0065*B62*0.3048)/288.15)^5.2558797)/(287.05287*(288.15-0.0065*B62*0.3048))</x:f>
        <x:v>0.6351616440492905</x:v>
      </x:c>
      <x:c r="I62" s="11" t="n">
        <x:f>C62*SQRT(H62/1.225)</x:f>
        <x:v>136.8131016228221</x:v>
      </x:c>
      <x:c r="J62" s="11" t="n">
        <x:f>C62*0.44704/SQRT(1.4*287.05287*(288.15-0.0065*B62*0.3048))</x:f>
        <x:v>0.26962389884247995</x:v>
      </x:c>
      <x:c r="K62" s="12" t="n">
        <x:f>0.5*H62*(C62*0.44704)^2</x:f>
        <x:v>2291.1537783515264</x:v>
      </x:c>
      <x:c r="L62" s="11" t="n">
        <x:f>'Assumptions'!$C$6*0.09290304</x:f>
        <x:v>21.646408320000003</x:v>
      </x:c>
      <x:c r="M62" s="11" t="n">
        <x:f>('Assumptions'!$C$7*0.3048)^2/L62</x:f>
        <x:v>5.875536480686696</x:v>
      </x:c>
      <x:c r="N62" s="11" t="n">
        <x:f>1/(PI()*M62*'Assumptions'!$C$9)</x:f>
        <x:v>0.06771932385027686</x:v>
      </x:c>
      <x:c r="O62" s="13" t="n">
        <x:f>G62/'Assumptions'!$C$6</x:f>
        <x:v>39.65665236051502</x:v>
      </x:c>
      <x:c r="P62" s="14" t="n">
        <x:f>F62/G62</x:f>
        <x:v>0.17012987012987013</x:v>
      </x:c>
      <x:c r="Q62" s="15" t="n">
        <x:f>G62*4.4482216153/(K62*L62)</x:f>
        <x:v>0.8287400013357561</x:v>
      </x:c>
      <x:c r="R62" s="15" t="n">
        <x:f>'Assumptions'!$C$8+'Assumptions'!$C$13</x:f>
        <x:v>0.016</x:v>
      </x:c>
      <x:c r="S62" s="15" t="n">
        <x:f>N62*Q62^2</x:f>
        <x:v>0.04651030812381887</x:v>
      </x:c>
      <x:c r="T62" s="15" t="n">
        <x:f>'Assumptions'!$C$14</x:f>
        <x:v>0</x:v>
      </x:c>
      <x:c r="U62" s="15" t="n">
        <x:f>SUM(R62:T62)</x:f>
        <x:v>0.06251030812381887</x:v>
      </x:c>
      <x:c r="V62" s="16" t="n">
        <x:f>K62*L62*R62/4.4482216153</x:f>
        <x:v>178.3912925184168</x:v>
      </x:c>
      <x:c r="W62" s="16" t="n">
        <x:f>K62*L62*S62/4.4482216153</x:f>
        <x:v>518.5646238523669</x:v>
      </x:c>
      <x:c r="X62" s="16" t="n">
        <x:f>K62*L62*T62/4.4482216153</x:f>
        <x:v>0</x:v>
      </x:c>
      <x:c r="Y62" s="16" t="n">
        <x:f>SUM(V62:X62)</x:f>
        <x:v>696.9559163707837</x:v>
      </x:c>
      <x:c r="Z62" s="9" t="n">
        <x:f>V62/Y62</x:f>
        <x:v>0.25595778488737564</x:v>
      </x:c>
      <x:c r="AA62" s="9" t="n">
        <x:f>W62/Y62</x:f>
        <x:v>0.7440422151126245</x:v>
      </x:c>
      <x:c r="AB62" s="13" t="n">
        <x:f>G62/Y62</x:f>
        <x:v>13.257653436841302</x:v>
      </x:c>
      <x:c r="AC62" s="11" t="n">
        <x:f>'Assumptions'!$C$10</x:f>
        <x:v>0.8</x:v>
      </x:c>
      <x:c r="AD62" s="16" t="n">
        <x:f>F62</x:f>
        <x:v>1572</x:v>
      </x:c>
      <x:c r="AE62" s="16" t="n">
        <x:f>AD62*AC62</x:f>
        <x:v>1257.6000000000001</x:v>
      </x:c>
      <x:c r="AF62" s="16" t="n">
        <x:f>Y62*4.4482216153*(C62*0.44704)/745.6998716</x:f>
        <x:v>353.12433095593684</x:v>
      </x:c>
      <x:c r="AG62" s="16" t="n">
        <x:f>AF62/AC62</x:f>
        <x:v>441.40541369492104</x:v>
      </x:c>
      <x:c r="AH62" s="16" t="n">
        <x:f>AE62-AF62</x:f>
        <x:v>904.4756690440634</x:v>
      </x:c>
      <x:c r="AI62" s="16" t="n">
        <x:f>AH62*745.6998716/(G62*4.4482216153)</x:f>
        <x:v>16.40977285290102</x:v>
      </x:c>
      <x:c r="AJ62" s="16" t="n">
        <x:f>AI62*196.8503937</x:f>
        <x:v>3230.2702466211385</x:v>
      </x:c>
      <x:c r="AK62" s="16" t="n">
        <x:f>AH62*745.6998716/(G62*0.45359237*C62*0.44704)</x:f>
        <x:v>1.8946249829207653</x:v>
      </x:c>
      <x:c r="AL62" s="16" t="n">
        <x:f>SQRT(2*G62*4.4482216153/(1.225*L62*'Assumptions'!$C$11))/0.44704</x:f>
        <x:v>98.46385799361909</x:v>
      </x:c>
      <x:c r="AM62" s="16" t="n">
        <x:f>MIN('Assumptions'!$C$12,'Assumptions'!$C$11*K62*L62/(G62*4.4482216153))</x:f>
        <x:v>1.93064169392226</x:v>
      </x:c>
      <x:c r="AN62" s="16" t="n">
        <x:f>IF(AE62*745.6998716/(C62*0.44704)-(V62+X62)*4.4482216153&lt;W62*4.4482216153,"n.a.",MIN(AM62,SQRT((AE62*745.6998716/(C62*0.44704)-(V62+X62)*4.4482216153)/(W62*4.4482216153))))</x:f>
        <x:v>1.93064169392226</x:v>
      </x:c>
      <x:c r="AO62" s="16" t="n">
        <x:f>IF(AM62&gt;1,9.80665*SQRT(AM62^2-1)/(C62*0.44704)*180/PI(),"n.a.")</x:f>
        <x:v>10.924861436330545</x:v>
      </x:c>
      <x:c r="AP62" s="16" t="n">
        <x:f>IF(ISNUMBER(AN62),IF(AN62&gt;1,9.80665*SQRT(AN62^2-1)/(C62*0.44704)*180/PI(),"n.a."),"n.a.")</x:f>
        <x:v>10.924861436330545</x:v>
      </x:c>
      <x:c r="AQ62" s="16" t="n">
        <x:f>IF(AM62&gt;1,(C62*0.44704)^2/(9.80665*SQRT(AM62^2-1)),"n.a.")</x:f>
        <x:v>445.45791544656606</x:v>
      </x:c>
      <x:c r="AR62" s="16" t="n">
        <x:f>IF(ISNUMBER(AN62),IF(AN62&gt;1,(C62*0.44704)^2/(9.80665*SQRT(AN62^2-1)),"n.a."),"n.a.")</x:f>
        <x:v>445.45791544656606</x:v>
      </x:c>
      <x:c r="AS62" s="6" t="str">
        <x:f>IF(I62&gt;=AL62,"Within modeled CLmax","Below modeled stall")</x:f>
        <x:v>Within modeled CLmax</x:v>
      </x:c>
      <x:c r="AT62" s="6" t="str">
        <x:v>D: aero and eta estimated</x:v>
      </x:c>
      <x:c r="AU62" s="6" t="str">
        <x:v>Fixed BHP node snapshot; no source-backed 6G/CLmax/eta map</x:v>
      </x:c>
    </x:row>
    <x:row r="63">
      <x:c r="B63" s="10" t="n">
        <x:v>20800</x:v>
      </x:c>
      <x:c r="C63" s="10" t="n">
        <x:v>220</x:v>
      </x:c>
      <x:c r="D63" s="6" t="str">
        <x:v>75inHg</x:v>
      </x:c>
      <x:c r="E63" s="6" t="str">
        <x:v>high</x:v>
      </x:c>
      <x:c r="F63" s="6" t="n">
        <x:v>1572</x:v>
      </x:c>
      <x:c r="G63" s="6" t="n">
        <x:f>'Assumptions'!$C$5</x:f>
        <x:v>9240</x:v>
      </x:c>
      <x:c r="H63" s="11" t="n">
        <x:f>(101325*((288.15-0.0065*B63*0.3048)/288.15)^5.2558797)/(287.05287*(288.15-0.0065*B63*0.3048))</x:f>
        <x:v>0.6351616440492905</x:v>
      </x:c>
      <x:c r="I63" s="11" t="n">
        <x:f>C63*SQRT(H63/1.225)</x:f>
        <x:v>158.4151703001098</x:v>
      </x:c>
      <x:c r="J63" s="11" t="n">
        <x:f>C63*0.44704/SQRT(1.4*287.05287*(288.15-0.0065*B63*0.3048))</x:f>
        <x:v>0.31219609339655574</x:v>
      </x:c>
      <x:c r="K63" s="12" t="n">
        <x:f>0.5*H63*(C63*0.44704)^2</x:f>
        <x:v>3071.7962014463674</x:v>
      </x:c>
      <x:c r="L63" s="11" t="n">
        <x:f>'Assumptions'!$C$6*0.09290304</x:f>
        <x:v>21.646408320000003</x:v>
      </x:c>
      <x:c r="M63" s="11" t="n">
        <x:f>('Assumptions'!$C$7*0.3048)^2/L63</x:f>
        <x:v>5.875536480686696</x:v>
      </x:c>
      <x:c r="N63" s="11" t="n">
        <x:f>1/(PI()*M63*'Assumptions'!$C$9)</x:f>
        <x:v>0.06771932385027686</x:v>
      </x:c>
      <x:c r="O63" s="13" t="n">
        <x:f>G63/'Assumptions'!$C$6</x:f>
        <x:v>39.65665236051502</x:v>
      </x:c>
      <x:c r="P63" s="14" t="n">
        <x:f>F63/G63</x:f>
        <x:v>0.17012987012987013</x:v>
      </x:c>
      <x:c r="Q63" s="15" t="n">
        <x:f>G63*4.4482216153/(K63*L63)</x:f>
        <x:v>0.618130455541752</x:v>
      </x:c>
      <x:c r="R63" s="15" t="n">
        <x:f>'Assumptions'!$C$8+'Assumptions'!$C$13</x:f>
        <x:v>0.016</x:v>
      </x:c>
      <x:c r="S63" s="15" t="n">
        <x:f>N63*Q63^2</x:f>
        <x:v>0.025874555464979347</x:v>
      </x:c>
      <x:c r="T63" s="15" t="n">
        <x:f>'Assumptions'!$C$14</x:f>
        <x:v>0</x:v>
      </x:c>
      <x:c r="U63" s="15" t="n">
        <x:f>SUM(R63:T63)</x:f>
        <x:v>0.04187455546497935</x:v>
      </x:c>
      <x:c r="V63" s="16" t="n">
        <x:f>K63*L63*R63/4.4482216153</x:f>
        <x:v>239.17281323798818</x:v>
      </x:c>
      <x:c r="W63" s="16" t="n">
        <x:f>K63*L63*S63/4.4482216153</x:f>
        <x:v>386.78063886509193</x:v>
      </x:c>
      <x:c r="X63" s="16" t="n">
        <x:f>K63*L63*T63/4.4482216153</x:f>
        <x:v>0</x:v>
      </x:c>
      <x:c r="Y63" s="16" t="n">
        <x:f>SUM(V63:X63)</x:f>
        <x:v>625.95345210308</x:v>
      </x:c>
      <x:c r="Z63" s="9" t="n">
        <x:f>V63/Y63</x:f>
        <x:v>0.3820936084534956</x:v>
      </x:c>
      <x:c r="AA63" s="9" t="n">
        <x:f>W63/Y63</x:f>
        <x:v>0.6179063915465045</x:v>
      </x:c>
      <x:c r="AB63" s="13" t="n">
        <x:f>G63/Y63</x:f>
        <x:v>14.76148101580944</x:v>
      </x:c>
      <x:c r="AC63" s="11" t="n">
        <x:f>'Assumptions'!$C$10</x:f>
        <x:v>0.8</x:v>
      </x:c>
      <x:c r="AD63" s="16" t="n">
        <x:f>F63</x:f>
        <x:v>1572</x:v>
      </x:c>
      <x:c r="AE63" s="16" t="n">
        <x:f>AD63*AC63</x:f>
        <x:v>1257.6000000000001</x:v>
      </x:c>
      <x:c r="AF63" s="16" t="n">
        <x:f>Y63*4.4482216153*(C63*0.44704)/745.6998716</x:f>
        <x:v>367.22602522833665</x:v>
      </x:c>
      <x:c r="AG63" s="16" t="n">
        <x:f>AF63/AC63</x:f>
        <x:v>459.0325315354208</x:v>
      </x:c>
      <x:c r="AH63" s="16" t="n">
        <x:f>AE63-AF63</x:f>
        <x:v>890.3739747716635</x:v>
      </x:c>
      <x:c r="AI63" s="16" t="n">
        <x:f>AH63*745.6998716/(G63*4.4482216153)</x:f>
        <x:v>16.15392782824081</x:v>
      </x:c>
      <x:c r="AJ63" s="16" t="n">
        <x:f>AI63*196.8503937</x:f>
        <x:v>3179.9070527905897</x:v>
      </x:c>
      <x:c r="AK63" s="16" t="n">
        <x:f>AH63*745.6998716/(G63*0.45359237*C63*0.44704)</x:f>
        <x:v>1.6107559658910375</x:v>
      </x:c>
      <x:c r="AL63" s="16" t="n">
        <x:f>SQRT(2*G63*4.4482216153/(1.225*L63*'Assumptions'!$C$11))/0.44704</x:f>
        <x:v>98.46385799361909</x:v>
      </x:c>
      <x:c r="AM63" s="16" t="n">
        <x:f>MIN('Assumptions'!$C$12,'Assumptions'!$C$11*K63*L63/(G63*4.4482216153))</x:f>
        <x:v>2.588450359718487</x:v>
      </x:c>
      <x:c r="AN63" s="16" t="n">
        <x:f>IF(AE63*745.6998716/(C63*0.44704)-(V63+X63)*4.4482216153&lt;W63*4.4482216153,"n.a.",MIN(AM63,SQRT((AE63*745.6998716/(C63*0.44704)-(V63+X63)*4.4482216153)/(W63*4.4482216153))))</x:f>
        <x:v>2.218982970896809</x:v>
      </x:c>
      <x:c r="AO63" s="16" t="n">
        <x:f>IF(AM63&gt;1,9.80665*SQRT(AM63^2-1)/(C63*0.44704)*180/PI(),"n.a.")</x:f>
        <x:v>13.640005261112087</x:v>
      </x:c>
      <x:c r="AP63" s="16" t="n">
        <x:f>IF(ISNUMBER(AN63),IF(AN63&gt;1,9.80665*SQRT(AN63^2-1)/(C63*0.44704)*180/PI(),"n.a."),"n.a.")</x:f>
        <x:v>11.317028292442735</x:v>
      </x:c>
      <x:c r="AQ63" s="16" t="n">
        <x:f>IF(AM63&gt;1,(C63*0.44704)^2/(9.80665*SQRT(AM63^2-1)),"n.a.")</x:f>
        <x:v>413.1208934531455</x:v>
      </x:c>
      <x:c r="AR63" s="16" t="n">
        <x:f>IF(ISNUMBER(AN63),IF(AN63&gt;1,(C63*0.44704)^2/(9.80665*SQRT(AN63^2-1)),"n.a."),"n.a.")</x:f>
        <x:v>497.9196847938554</x:v>
      </x:c>
      <x:c r="AS63" s="6" t="str">
        <x:f>IF(I63&gt;=AL63,"Within modeled CLmax","Below modeled stall")</x:f>
        <x:v>Within modeled CLmax</x:v>
      </x:c>
      <x:c r="AT63" s="6" t="str">
        <x:v>D: aero and eta estimated</x:v>
      </x:c>
      <x:c r="AU63" s="6" t="str">
        <x:v>Fixed BHP node snapshot; no source-backed 6G/CLmax/eta map</x:v>
      </x:c>
    </x:row>
    <x:row r="64">
      <x:c r="B64" s="10" t="n">
        <x:v>20800</x:v>
      </x:c>
      <x:c r="C64" s="10" t="n">
        <x:v>250</x:v>
      </x:c>
      <x:c r="D64" s="6" t="str">
        <x:v>75inHg</x:v>
      </x:c>
      <x:c r="E64" s="6" t="str">
        <x:v>high</x:v>
      </x:c>
      <x:c r="F64" s="6" t="n">
        <x:v>1572</x:v>
      </x:c>
      <x:c r="G64" s="6" t="n">
        <x:f>'Assumptions'!$C$5</x:f>
        <x:v>9240</x:v>
      </x:c>
      <x:c r="H64" s="11" t="n">
        <x:f>(101325*((288.15-0.0065*B64*0.3048)/288.15)^5.2558797)/(287.05287*(288.15-0.0065*B64*0.3048))</x:f>
        <x:v>0.6351616440492905</x:v>
      </x:c>
      <x:c r="I64" s="11" t="n">
        <x:f>C64*SQRT(H64/1.225)</x:f>
        <x:v>180.01723897739748</x:v>
      </x:c>
      <x:c r="J64" s="11" t="n">
        <x:f>C64*0.44704/SQRT(1.4*287.05287*(288.15-0.0065*B64*0.3048))</x:f>
        <x:v>0.35476828795063153</x:v>
      </x:c>
      <x:c r="K64" s="12" t="n">
        <x:f>0.5*H64*(C64*0.44704)^2</x:f>
        <x:v>3966.6789791404544</x:v>
      </x:c>
      <x:c r="L64" s="11" t="n">
        <x:f>'Assumptions'!$C$6*0.09290304</x:f>
        <x:v>21.646408320000003</x:v>
      </x:c>
      <x:c r="M64" s="11" t="n">
        <x:f>('Assumptions'!$C$7*0.3048)^2/L64</x:f>
        <x:v>5.875536480686696</x:v>
      </x:c>
      <x:c r="N64" s="11" t="n">
        <x:f>1/(PI()*M64*'Assumptions'!$C$9)</x:f>
        <x:v>0.06771932385027686</x:v>
      </x:c>
      <x:c r="O64" s="13" t="n">
        <x:f>G64/'Assumptions'!$C$6</x:f>
        <x:v>39.65665236051502</x:v>
      </x:c>
      <x:c r="P64" s="14" t="n">
        <x:f>F64/G64</x:f>
        <x:v>0.17012987012987013</x:v>
      </x:c>
      <x:c r="Q64" s="15" t="n">
        <x:f>G64*4.4482216153/(K64*L64)</x:f>
        <x:v>0.4786802247715327</x:v>
      </x:c>
      <x:c r="R64" s="15" t="n">
        <x:f>'Assumptions'!$C$8+'Assumptions'!$C$13</x:f>
        <x:v>0.016</x:v>
      </x:c>
      <x:c r="S64" s="15" t="n">
        <x:f>N64*Q64^2</x:f>
        <x:v>0.01551685085441075</x:v>
      </x:c>
      <x:c r="T64" s="15" t="n">
        <x:f>'Assumptions'!$C$14</x:f>
        <x:v>0</x:v>
      </x:c>
      <x:c r="U64" s="15" t="n">
        <x:f>SUM(R64:T64)</x:f>
        <x:v>0.03151685085441075</x:v>
      </x:c>
      <x:c r="V64" s="16" t="n">
        <x:f>K64*L64*R64/4.4482216153</x:f>
        <x:v>308.84919064822856</x:v>
      </x:c>
      <x:c r="W64" s="16" t="n">
        <x:f>K64*L64*S64/4.4482216153</x:f>
        <x:v>299.5229267371271</x:v>
      </x:c>
      <x:c r="X64" s="16" t="n">
        <x:f>K64*L64*T64/4.4482216153</x:f>
        <x:v>0</x:v>
      </x:c>
      <x:c r="Y64" s="16" t="n">
        <x:f>SUM(V64:X64)</x:f>
        <x:v>608.3721173853556</x:v>
      </x:c>
      <x:c r="Z64" s="9" t="n">
        <x:f>V64/Y64</x:f>
        <x:v>0.5076649337178565</x:v>
      </x:c>
      <x:c r="AA64" s="9" t="n">
        <x:f>W64/Y64</x:f>
        <x:v>0.4923350662821435</x:v>
      </x:c>
      <x:c r="AB64" s="13" t="n">
        <x:f>G64/Y64</x:f>
        <x:v>15.188072786293048</x:v>
      </x:c>
      <x:c r="AC64" s="11" t="n">
        <x:f>'Assumptions'!$C$10</x:f>
        <x:v>0.8</x:v>
      </x:c>
      <x:c r="AD64" s="16" t="n">
        <x:f>F64</x:f>
        <x:v>1572</x:v>
      </x:c>
      <x:c r="AE64" s="16" t="n">
        <x:f>AD64*AC64</x:f>
        <x:v>1257.6000000000001</x:v>
      </x:c>
      <x:c r="AF64" s="16" t="n">
        <x:f>Y64*4.4482216153*(C64*0.44704)/745.6998716</x:f>
        <x:v>405.58141158419545</x:v>
      </x:c>
      <x:c r="AG64" s="16" t="n">
        <x:f>AF64/AC64</x:f>
        <x:v>506.9767644802443</x:v>
      </x:c>
      <x:c r="AH64" s="16" t="n">
        <x:f>AE64-AF64</x:f>
        <x:v>852.0185884158047</x:v>
      </x:c>
      <x:c r="AI64" s="16" t="n">
        <x:f>AH64*745.6998716/(G64*4.4482216153)</x:f>
        <x:v>15.45805153291701</x:v>
      </x:c>
      <x:c r="AJ64" s="16" t="n">
        <x:f>AI64*196.8503937</x:f>
        <x:v>3042.923530089602</x:v>
      </x:c>
      <x:c r="AK64" s="16" t="n">
        <x:f>AH64*745.6998716/(G64*0.45359237*C64*0.44704)</x:f>
        <x:v>1.3564039107607972</x:v>
      </x:c>
      <x:c r="AL64" s="16" t="n">
        <x:f>SQRT(2*G64*4.4482216153/(1.225*L64*'Assumptions'!$C$11))/0.44704</x:f>
        <x:v>98.46385799361909</x:v>
      </x:c>
      <x:c r="AM64" s="16" t="n">
        <x:f>MIN('Assumptions'!$C$12,'Assumptions'!$C$11*K64*L64/(G64*4.4482216153))</x:f>
        <x:v>3.342523708314162</x:v>
      </x:c>
      <x:c r="AN64" s="16" t="n">
        <x:f>IF(AE64*745.6998716/(C64*0.44704)-(V64+X64)*4.4482216153&lt;W64*4.4482216153,"n.a.",MIN(AM64,SQRT((AE64*745.6998716/(C64*0.44704)-(V64+X64)*4.4482216153)/(W64*4.4482216153))))</x:f>
        <x:v>2.294968043499717</x:v>
      </x:c>
      <x:c r="AO64" s="16" t="n">
        <x:f>IF(AM64&gt;1,9.80665*SQRT(AM64^2-1)/(C64*0.44704)*180/PI(),"n.a.")</x:f>
        <x:v>16.03503866521088</x:v>
      </x:c>
      <x:c r="AP64" s="16" t="n">
        <x:f>IF(ISNUMBER(AN64),IF(AN64&gt;1,9.80665*SQRT(AN64^2-1)/(C64*0.44704)*180/PI(),"n.a."),"n.a.")</x:f>
        <x:v>10.385132549403423</x:v>
      </x:c>
      <x:c r="AQ64" s="16" t="n">
        <x:f>IF(AM64&gt;1,(C64*0.44704)^2/(9.80665*SQRT(AM64^2-1)),"n.a.")</x:f>
        <x:v>399.33650626453726</x:v>
      </x:c>
      <x:c r="AR64" s="16" t="n">
        <x:f>IF(ISNUMBER(AN64),IF(AN64&gt;1,(C64*0.44704)^2/(9.80665*SQRT(AN64^2-1)),"n.a."),"n.a.")</x:f>
        <x:v>616.5907163842531</x:v>
      </x:c>
      <x:c r="AS64" s="6" t="str">
        <x:f>IF(I64&gt;=AL64,"Within modeled CLmax","Below modeled stall")</x:f>
        <x:v>Within modeled CLmax</x:v>
      </x:c>
      <x:c r="AT64" s="6" t="str">
        <x:v>D: aero and eta estimated</x:v>
      </x:c>
      <x:c r="AU64" s="6" t="str">
        <x:v>Fixed BHP node snapshot; no source-backed 6G/CLmax/eta map</x:v>
      </x:c>
    </x:row>
    <x:row r="65">
      <x:c r="B65" s="10" t="n">
        <x:v>20800</x:v>
      </x:c>
      <x:c r="C65" s="10" t="n">
        <x:v>280</x:v>
      </x:c>
      <x:c r="D65" s="6" t="str">
        <x:v>75inHg</x:v>
      </x:c>
      <x:c r="E65" s="6" t="str">
        <x:v>high</x:v>
      </x:c>
      <x:c r="F65" s="6" t="n">
        <x:v>1572</x:v>
      </x:c>
      <x:c r="G65" s="6" t="n">
        <x:f>'Assumptions'!$C$5</x:f>
        <x:v>9240</x:v>
      </x:c>
      <x:c r="H65" s="11" t="n">
        <x:f>(101325*((288.15-0.0065*B65*0.3048)/288.15)^5.2558797)/(287.05287*(288.15-0.0065*B65*0.3048))</x:f>
        <x:v>0.6351616440492905</x:v>
      </x:c>
      <x:c r="I65" s="11" t="n">
        <x:f>C65*SQRT(H65/1.225)</x:f>
        <x:v>201.6193076546852</x:v>
      </x:c>
      <x:c r="J65" s="11" t="n">
        <x:f>C65*0.44704/SQRT(1.4*287.05287*(288.15-0.0065*B65*0.3048))</x:f>
        <x:v>0.39734048250470727</x:v>
      </x:c>
      <x:c r="K65" s="12" t="n">
        <x:f>0.5*H65*(C65*0.44704)^2</x:f>
        <x:v>4975.802111433785</x:v>
      </x:c>
      <x:c r="L65" s="11" t="n">
        <x:f>'Assumptions'!$C$6*0.09290304</x:f>
        <x:v>21.646408320000003</x:v>
      </x:c>
      <x:c r="M65" s="11" t="n">
        <x:f>('Assumptions'!$C$7*0.3048)^2/L65</x:f>
        <x:v>5.875536480686696</x:v>
      </x:c>
      <x:c r="N65" s="11" t="n">
        <x:f>1/(PI()*M65*'Assumptions'!$C$9)</x:f>
        <x:v>0.06771932385027686</x:v>
      </x:c>
      <x:c r="O65" s="13" t="n">
        <x:f>G65/'Assumptions'!$C$6</x:f>
        <x:v>39.65665236051502</x:v>
      </x:c>
      <x:c r="P65" s="14" t="n">
        <x:f>F65/G65</x:f>
        <x:v>0.17012987012987013</x:v>
      </x:c>
      <x:c r="Q65" s="15" t="n">
        <x:f>G65*4.4482216153/(K65*L65)</x:f>
        <x:v>0.3816009444926122</x:v>
      </x:c>
      <x:c r="R65" s="15" t="n">
        <x:f>'Assumptions'!$C$8+'Assumptions'!$C$13</x:f>
        <x:v>0.016</x:v>
      </x:c>
      <x:c r="S65" s="15" t="n">
        <x:f>N65*Q65^2</x:f>
        <x:v>0.009861239237889487</x:v>
      </x:c>
      <x:c r="T65" s="15" t="n">
        <x:f>'Assumptions'!$C$14</x:f>
        <x:v>0</x:v>
      </x:c>
      <x:c r="U65" s="15" t="n">
        <x:f>SUM(R65:T65)</x:f>
        <x:v>0.025861239237889487</x:v>
      </x:c>
      <x:c r="V65" s="16" t="n">
        <x:f>K65*L65*R65/4.4482216153</x:f>
        <x:v>387.42042474913785</x:v>
      </x:c>
      <x:c r="W65" s="16" t="n">
        <x:f>K65*L65*S65/4.4482216153</x:f>
        <x:v>238.7778433810006</x:v>
      </x:c>
      <x:c r="X65" s="16" t="n">
        <x:f>K65*L65*T65/4.4482216153</x:f>
        <x:v>0</x:v>
      </x:c>
      <x:c r="Y65" s="16" t="n">
        <x:f>SUM(V65:X65)</x:f>
        <x:v>626.1982681301384</x:v>
      </x:c>
      <x:c r="Z65" s="9" t="n">
        <x:f>V65/Y65</x:f>
        <x:v>0.6186865158634117</x:v>
      </x:c>
      <x:c r="AA65" s="9" t="n">
        <x:f>W65/Y65</x:f>
        <x:v>0.3813134841365883</x:v>
      </x:c>
      <x:c r="AB65" s="13" t="n">
        <x:f>G65/Y65</x:f>
        <x:v>14.75570992489509</x:v>
      </x:c>
      <x:c r="AC65" s="11" t="n">
        <x:f>'Assumptions'!$C$10</x:f>
        <x:v>0.8</x:v>
      </x:c>
      <x:c r="AD65" s="16" t="n">
        <x:f>F65</x:f>
        <x:v>1572</x:v>
      </x:c>
      <x:c r="AE65" s="16" t="n">
        <x:f>AD65*AC65</x:f>
        <x:v>1257.6000000000001</x:v>
      </x:c>
      <x:c r="AF65" s="16" t="n">
        <x:f>Y65*4.4482216153*(C65*0.44704)/745.6998716</x:f>
        <x:v>467.5613735302051</x:v>
      </x:c>
      <x:c r="AG65" s="16" t="n">
        <x:f>AF65/AC65</x:f>
        <x:v>584.4517169127564</x:v>
      </x:c>
      <x:c r="AH65" s="16" t="n">
        <x:f>AE65-AF65</x:f>
        <x:v>790.038626469795</x:v>
      </x:c>
      <x:c r="AI65" s="16" t="n">
        <x:f>AH65*745.6998716/(G65*4.4482216153)</x:f>
        <x:v>14.333557937594081</x:v>
      </x:c>
      <x:c r="AJ65" s="16" t="n">
        <x:f>AI65*196.8503937</x:f>
        <x:v>2821.566523137155</x:v>
      </x:c>
      <x:c r="AK65" s="16" t="n">
        <x:f>AH65*745.6998716/(G65*0.45359237*C65*0.44704)</x:f>
        <x:v>1.1229754604090652</x:v>
      </x:c>
      <x:c r="AL65" s="16" t="n">
        <x:f>SQRT(2*G65*4.4482216153/(1.225*L65*'Assumptions'!$C$11))/0.44704</x:f>
        <x:v>98.46385799361909</x:v>
      </x:c>
      <x:c r="AM65" s="16" t="n">
        <x:f>MIN('Assumptions'!$C$12,'Assumptions'!$C$11*K65*L65/(G65*4.4482216153))</x:f>
        <x:v>4.192861739709284</x:v>
      </x:c>
      <x:c r="AN65" s="16" t="n">
        <x:f>IF(AE65*745.6998716/(C65*0.44704)-(V65+X65)*4.4482216153&lt;W65*4.4482216153,"n.a.",MIN(AM65,SQRT((AE65*745.6998716/(C65*0.44704)-(V65+X65)*4.4482216153)/(W65*4.4482216153))))</x:f>
        <x:v>2.330507047571558</x:v>
      </x:c>
      <x:c r="AO65" s="16" t="n">
        <x:f>IF(AM65&gt;1,9.80665*SQRT(AM65^2-1)/(C65*0.44704)*180/PI(),"n.a.")</x:f>
        <x:v>18.27815384394521</x:v>
      </x:c>
      <x:c r="AP65" s="16" t="n">
        <x:f>IF(ISNUMBER(AN65),IF(AN65&gt;1,9.80665*SQRT(AN65^2-1)/(C65*0.44704)*180/PI(),"n.a."),"n.a.")</x:f>
        <x:v>9.44936577420158</x:v>
      </x:c>
      <x:c r="AQ65" s="16" t="n">
        <x:f>IF(AM65&gt;1,(C65*0.44704)^2/(9.80665*SQRT(AM65^2-1)),"n.a.")</x:f>
        <x:v>392.36902905069064</x:v>
      </x:c>
      <x:c r="AR65" s="16" t="n">
        <x:f>IF(ISNUMBER(AN65),IF(AN65&gt;1,(C65*0.44704)^2/(9.80665*SQRT(AN65^2-1)),"n.a."),"n.a.")</x:f>
        <x:v>758.9696121371603</x:v>
      </x:c>
      <x:c r="AS65" s="6" t="str">
        <x:f>IF(I65&gt;=AL65,"Within modeled CLmax","Below modeled stall")</x:f>
        <x:v>Within modeled CLmax</x:v>
      </x:c>
      <x:c r="AT65" s="6" t="str">
        <x:v>D: aero and eta estimated</x:v>
      </x:c>
      <x:c r="AU65" s="6" t="str">
        <x:v>Fixed BHP node snapshot; no source-backed 6G/CLmax/eta map</x:v>
      </x:c>
    </x:row>
    <x:row r="66">
      <x:c r="B66" s="10" t="n">
        <x:v>20800</x:v>
      </x:c>
      <x:c r="C66" s="10" t="n">
        <x:v>310</x:v>
      </x:c>
      <x:c r="D66" s="6" t="str">
        <x:v>75inHg</x:v>
      </x:c>
      <x:c r="E66" s="6" t="str">
        <x:v>high</x:v>
      </x:c>
      <x:c r="F66" s="6" t="n">
        <x:v>1572</x:v>
      </x:c>
      <x:c r="G66" s="6" t="n">
        <x:f>'Assumptions'!$C$5</x:f>
        <x:v>9240</x:v>
      </x:c>
      <x:c r="H66" s="11" t="n">
        <x:f>(101325*((288.15-0.0065*B66*0.3048)/288.15)^5.2558797)/(287.05287*(288.15-0.0065*B66*0.3048))</x:f>
        <x:v>0.6351616440492905</x:v>
      </x:c>
      <x:c r="I66" s="11" t="n">
        <x:f>C66*SQRT(H66/1.225)</x:f>
        <x:v>223.2213763319729</x:v>
      </x:c>
      <x:c r="J66" s="11" t="n">
        <x:f>C66*0.44704/SQRT(1.4*287.05287*(288.15-0.0065*B66*0.3048))</x:f>
        <x:v>0.4399126770587831</x:v>
      </x:c>
      <x:c r="K66" s="12" t="n">
        <x:f>0.5*H66*(C66*0.44704)^2</x:f>
        <x:v>6099.165598326362</x:v>
      </x:c>
      <x:c r="L66" s="11" t="n">
        <x:f>'Assumptions'!$C$6*0.09290304</x:f>
        <x:v>21.646408320000003</x:v>
      </x:c>
      <x:c r="M66" s="11" t="n">
        <x:f>('Assumptions'!$C$7*0.3048)^2/L66</x:f>
        <x:v>5.875536480686696</x:v>
      </x:c>
      <x:c r="N66" s="11" t="n">
        <x:f>1/(PI()*M66*'Assumptions'!$C$9)</x:f>
        <x:v>0.06771932385027686</x:v>
      </x:c>
      <x:c r="O66" s="13" t="n">
        <x:f>G66/'Assumptions'!$C$6</x:f>
        <x:v>39.65665236051502</x:v>
      </x:c>
      <x:c r="P66" s="14" t="n">
        <x:f>F66/G66</x:f>
        <x:v>0.17012987012987013</x:v>
      </x:c>
      <x:c r="Q66" s="15" t="n">
        <x:f>G66*4.4482216153/(K66*L66)</x:f>
        <x:v>0.31131648333216233</x:v>
      </x:c>
      <x:c r="R66" s="15" t="n">
        <x:f>'Assumptions'!$C$8+'Assumptions'!$C$13</x:f>
        <x:v>0.016</x:v>
      </x:c>
      <x:c r="S66" s="15" t="n">
        <x:f>N66*Q66^2</x:f>
        <x:v>0.006563218232183352</x:v>
      </x:c>
      <x:c r="T66" s="15" t="n">
        <x:f>'Assumptions'!$C$14</x:f>
        <x:v>0</x:v>
      </x:c>
      <x:c r="U66" s="15" t="n">
        <x:f>SUM(R66:T66)</x:f>
        <x:v>0.022563218232183352</x:v>
      </x:c>
      <x:c r="V66" s="16" t="n">
        <x:f>K66*L66*R66/4.4482216153</x:f>
        <x:v>474.88651554071623</x:v>
      </x:c>
      <x:c r="W66" s="16" t="n">
        <x:f>K66*L66*S66/4.4482216153</x:f>
        <x:v>194.79898981342822</x:v>
      </x:c>
      <x:c r="X66" s="16" t="n">
        <x:f>K66*L66*T66/4.4482216153</x:f>
        <x:v>0</x:v>
      </x:c>
      <x:c r="Y66" s="16" t="n">
        <x:f>SUM(V66:X66)</x:f>
        <x:v>669.6855053541444</x:v>
      </x:c>
      <x:c r="Z66" s="9" t="n">
        <x:f>V66/Y66</x:f>
        <x:v>0.7091187008588244</x:v>
      </x:c>
      <x:c r="AA66" s="9" t="n">
        <x:f>W66/Y66</x:f>
        <x:v>0.29088129914117555</x:v>
      </x:c>
      <x:c r="AB66" s="13" t="n">
        <x:f>G66/Y66</x:f>
        <x:v>13.79752126352755</x:v>
      </x:c>
      <x:c r="AC66" s="11" t="n">
        <x:f>'Assumptions'!$C$10</x:f>
        <x:v>0.8</x:v>
      </x:c>
      <x:c r="AD66" s="16" t="n">
        <x:f>F66</x:f>
        <x:v>1572</x:v>
      </x:c>
      <x:c r="AE66" s="16" t="n">
        <x:f>AD66*AC66</x:f>
        <x:v>1257.6000000000001</x:v>
      </x:c>
      <x:c r="AF66" s="16" t="n">
        <x:f>Y66*4.4482216153*(C66*0.44704)/745.6998716</x:f>
        <x:v>553.606684417846</x:v>
      </x:c>
      <x:c r="AG66" s="16" t="n">
        <x:f>AF66/AC66</x:f>
        <x:v>692.0083555223075</x:v>
      </x:c>
      <x:c r="AH66" s="16" t="n">
        <x:f>AE66-AF66</x:f>
        <x:v>703.9933155821541</x:v>
      </x:c>
      <x:c r="AI66" s="16" t="n">
        <x:f>AH66*745.6998716/(G66*4.4482216153)</x:f>
        <x:v>12.772450154323627</x:v>
      </x:c>
      <x:c r="AJ66" s="16" t="n">
        <x:f>AI66*196.8503937</x:f>
        <x:v>2514.261841392232</x:v>
      </x:c>
      <x:c r="AK66" s="16" t="n">
        <x:f>AH66*745.6998716/(G66*0.45359237*C66*0.44704)</x:f>
        <x:v>0.9038301278301576</x:v>
      </x:c>
      <x:c r="AL66" s="16" t="n">
        <x:f>SQRT(2*G66*4.4482216153/(1.225*L66*'Assumptions'!$C$11))/0.44704</x:f>
        <x:v>98.46385799361909</x:v>
      </x:c>
      <x:c r="AM66" s="16" t="n">
        <x:f>MIN('Assumptions'!$C$12,'Assumptions'!$C$11*K66*L66/(G66*4.4482216153))</x:f>
        <x:v>5.139464453903854</x:v>
      </x:c>
      <x:c r="AN66" s="16" t="n">
        <x:f>IF(AE66*745.6998716/(C66*0.44704)-(V66+X66)*4.4482216153&lt;W66*4.4482216153,"n.a.",MIN(AM66,SQRT((AE66*745.6998716/(C66*0.44704)-(V66+X66)*4.4482216153)/(W66*4.4482216153))))</x:f>
        <x:v>2.317695114593866</x:v>
      </x:c>
      <x:c r="AO66" s="16" t="n">
        <x:f>IF(AM66&gt;1,9.80665*SQRT(AM66^2-1)/(C66*0.44704)*180/PI(),"n.a.")</x:f>
        <x:v>20.43960756201634</x:v>
      </x:c>
      <x:c r="AP66" s="16" t="n">
        <x:f>IF(ISNUMBER(AN66),IF(AN66&gt;1,9.80665*SQRT(AN66^2-1)/(C66*0.44704)*180/PI(),"n.a."),"n.a.")</x:f>
        <x:v>8.477366010565394</x:v>
      </x:c>
      <x:c r="AQ66" s="16" t="n">
        <x:f>IF(AM66&gt;1,(C66*0.44704)^2/(9.80665*SQRT(AM66^2-1)),"n.a.")</x:f>
        <x:v>388.4706010476108</x:v>
      </x:c>
      <x:c r="AR66" s="16" t="n">
        <x:f>IF(ISNUMBER(AN66),IF(AN66&gt;1,(C66*0.44704)^2/(9.80665*SQRT(AN66^2-1)),"n.a."),"n.a.")</x:f>
        <x:v>936.6336931657636</x:v>
      </x:c>
      <x:c r="AS66" s="6" t="str">
        <x:f>IF(I66&gt;=AL66,"Within modeled CLmax","Below modeled stall")</x:f>
        <x:v>Within modeled CLmax</x:v>
      </x:c>
      <x:c r="AT66" s="6" t="str">
        <x:v>D: aero and eta estimated</x:v>
      </x:c>
      <x:c r="AU66" s="6" t="str">
        <x:v>Fixed BHP node snapshot; no source-backed 6G/CLmax/eta map</x:v>
      </x:c>
    </x:row>
    <x:row r="67">
      <x:c r="B67" s="10" t="n">
        <x:v>20800</x:v>
      </x:c>
      <x:c r="C67" s="10" t="n">
        <x:v>340</x:v>
      </x:c>
      <x:c r="D67" s="6" t="str">
        <x:v>75inHg</x:v>
      </x:c>
      <x:c r="E67" s="6" t="str">
        <x:v>high</x:v>
      </x:c>
      <x:c r="F67" s="6" t="n">
        <x:v>1572</x:v>
      </x:c>
      <x:c r="G67" s="6" t="n">
        <x:f>'Assumptions'!$C$5</x:f>
        <x:v>9240</x:v>
      </x:c>
      <x:c r="H67" s="11" t="n">
        <x:f>(101325*((288.15-0.0065*B67*0.3048)/288.15)^5.2558797)/(287.05287*(288.15-0.0065*B67*0.3048))</x:f>
        <x:v>0.6351616440492905</x:v>
      </x:c>
      <x:c r="I67" s="11" t="n">
        <x:f>C67*SQRT(H67/1.225)</x:f>
        <x:v>244.82344500926058</x:v>
      </x:c>
      <x:c r="J67" s="11" t="n">
        <x:f>C67*0.44704/SQRT(1.4*287.05287*(288.15-0.0065*B67*0.3048))</x:f>
        <x:v>0.4824848716128588</x:v>
      </x:c>
      <x:c r="K67" s="12" t="n">
        <x:f>0.5*H67*(C67*0.44704)^2</x:f>
        <x:v>7336.769439818183</x:v>
      </x:c>
      <x:c r="L67" s="11" t="n">
        <x:f>'Assumptions'!$C$6*0.09290304</x:f>
        <x:v>21.646408320000003</x:v>
      </x:c>
      <x:c r="M67" s="11" t="n">
        <x:f>('Assumptions'!$C$7*0.3048)^2/L67</x:f>
        <x:v>5.875536480686696</x:v>
      </x:c>
      <x:c r="N67" s="11" t="n">
        <x:f>1/(PI()*M67*'Assumptions'!$C$9)</x:f>
        <x:v>0.06771932385027686</x:v>
      </x:c>
      <x:c r="O67" s="13" t="n">
        <x:f>G67/'Assumptions'!$C$6</x:f>
        <x:v>39.65665236051502</x:v>
      </x:c>
      <x:c r="P67" s="14" t="n">
        <x:f>F67/G67</x:f>
        <x:v>0.17012987012987013</x:v>
      </x:c>
      <x:c r="Q67" s="15" t="n">
        <x:f>G67*4.4482216153/(K67*L67)</x:f>
        <x:v>0.25880202463858826</x:v>
      </x:c>
      <x:c r="R67" s="15" t="n">
        <x:f>'Assumptions'!$C$8+'Assumptions'!$C$13</x:f>
        <x:v>0.016</x:v>
      </x:c>
      <x:c r="S67" s="15" t="n">
        <x:f>N67*Q67^2</x:f>
        <x:v>0.0045357379169641485</x:v>
      </x:c>
      <x:c r="T67" s="15" t="n">
        <x:f>'Assumptions'!$C$14</x:f>
        <x:v>0</x:v>
      </x:c>
      <x:c r="U67" s="15" t="n">
        <x:f>SUM(R67:T67)</x:f>
        <x:v>0.02053573791696415</x:v>
      </x:c>
      <x:c r="V67" s="16" t="n">
        <x:f>K67*L67*R67/4.4482216153</x:f>
        <x:v>571.2474630229635</x:v>
      </x:c>
      <x:c r="W67" s="16" t="n">
        <x:f>K67*L67*S67/4.4482216153</x:f>
        <x:v>161.9392986251769</x:v>
      </x:c>
      <x:c r="X67" s="16" t="n">
        <x:f>K67*L67*T67/4.4482216153</x:f>
        <x:v>0</x:v>
      </x:c>
      <x:c r="Y67" s="16" t="n">
        <x:f>SUM(V67:X67)</x:f>
        <x:v>733.1867616481404</x:v>
      </x:c>
      <x:c r="Z67" s="9" t="n">
        <x:f>V67/Y67</x:f>
        <x:v>0.7791295382077666</x:v>
      </x:c>
      <x:c r="AA67" s="9" t="n">
        <x:f>W67/Y67</x:f>
        <x:v>0.22087046179223332</x:v>
      </x:c>
      <x:c r="AB67" s="13" t="n">
        <x:f>G67/Y67</x:f>
        <x:v>12.602518871493642</x:v>
      </x:c>
      <x:c r="AC67" s="11" t="n">
        <x:f>'Assumptions'!$C$10</x:f>
        <x:v>0.8</x:v>
      </x:c>
      <x:c r="AD67" s="16" t="n">
        <x:f>F67</x:f>
        <x:v>1572</x:v>
      </x:c>
      <x:c r="AE67" s="16" t="n">
        <x:f>AD67*AC67</x:f>
        <x:v>1257.6000000000001</x:v>
      </x:c>
      <x:c r="AF67" s="16" t="n">
        <x:f>Y67*4.4482216153*(C67*0.44704)/745.6998716</x:f>
        <x:v>664.755997217745</x:v>
      </x:c>
      <x:c r="AG67" s="16" t="n">
        <x:f>AF67/AC67</x:f>
        <x:v>830.9449965221811</x:v>
      </x:c>
      <x:c r="AH67" s="16" t="n">
        <x:f>AE67-AF67</x:f>
        <x:v>592.8440027822552</x:v>
      </x:c>
      <x:c r="AI67" s="16" t="n">
        <x:f>AH67*745.6998716/(G67*4.4482216153)</x:f>
        <x:v>10.75588405063828</x:v>
      </x:c>
      <x:c r="AJ67" s="16" t="n">
        <x:f>AI67*196.8503937</x:f>
        <x:v>2117.300009959696</x:v>
      </x:c>
      <x:c r="AK67" s="16" t="n">
        <x:f>AH67*745.6998716/(G67*0.45359237*C67*0.44704)</x:f>
        <x:v>0.6939712614618545</x:v>
      </x:c>
      <x:c r="AL67" s="16" t="n">
        <x:f>SQRT(2*G67*4.4482216153/(1.225*L67*'Assumptions'!$C$11))/0.44704</x:f>
        <x:v>98.46385799361909</x:v>
      </x:c>
      <x:c r="AM67" s="16" t="n">
        <x:f>MIN('Assumptions'!$C$12,'Assumptions'!$C$11*K67*L67/(G67*4.4482216153))</x:f>
        <x:v>6</x:v>
      </x:c>
      <x:c r="AN67" s="16" t="n">
        <x:f>IF(AE67*745.6998716/(C67*0.44704)-(V67+X67)*4.4482216153&lt;W67*4.4482216153,"n.a.",MIN(AM67,SQRT((AE67*745.6998716/(C67*0.44704)-(V67+X67)*4.4482216153)/(W67*4.4482216153))))</x:f>
        <x:v>2.2444955432851255</x:v>
      </x:c>
      <x:c r="AO67" s="16" t="n">
        <x:f>IF(AM67&gt;1,9.80665*SQRT(AM67^2-1)/(C67*0.44704)*180/PI(),"n.a.")</x:f>
        <x:v>21.87016344342648</x:v>
      </x:c>
      <x:c r="AP67" s="16" t="n">
        <x:f>IF(ISNUMBER(AN67),IF(AN67&gt;1,9.80665*SQRT(AN67^2-1)/(C67*0.44704)*180/PI(),"n.a."),"n.a.")</x:f>
        <x:v>7.428280081041499</x:v>
      </x:c>
      <x:c r="AQ67" s="16" t="n">
        <x:f>IF(AM67&gt;1,(C67*0.44704)^2/(9.80665*SQRT(AM67^2-1)),"n.a.")</x:f>
        <x:v>398.19509422172024</x:v>
      </x:c>
      <x:c r="AR67" s="16" t="n">
        <x:f>IF(ISNUMBER(AN67),IF(AN67&gt;1,(C67*0.44704)^2/(9.80665*SQRT(AN67^2-1)),"n.a."),"n.a.")</x:f>
        <x:v>1172.3564133271914</x:v>
      </x:c>
      <x:c r="AS67" s="6" t="str">
        <x:f>IF(I67&gt;=AL67,"Within modeled CLmax","Below modeled stall")</x:f>
        <x:v>Within modeled CLmax</x:v>
      </x:c>
      <x:c r="AT67" s="6" t="str">
        <x:v>D: aero and eta estimated</x:v>
      </x:c>
      <x:c r="AU67" s="6" t="str">
        <x:v>Fixed BHP node snapshot; no source-backed 6G/CLmax/eta map</x:v>
      </x:c>
    </x:row>
    <x:row r="68">
      <x:c r="B68" s="10" t="n">
        <x:v>20800</x:v>
      </x:c>
      <x:c r="C68" s="10" t="n">
        <x:v>370</x:v>
      </x:c>
      <x:c r="D68" s="6" t="str">
        <x:v>75inHg</x:v>
      </x:c>
      <x:c r="E68" s="6" t="str">
        <x:v>high</x:v>
      </x:c>
      <x:c r="F68" s="6" t="n">
        <x:v>1572</x:v>
      </x:c>
      <x:c r="G68" s="6" t="n">
        <x:f>'Assumptions'!$C$5</x:f>
        <x:v>9240</x:v>
      </x:c>
      <x:c r="H68" s="11" t="n">
        <x:f>(101325*((288.15-0.0065*B68*0.3048)/288.15)^5.2558797)/(287.05287*(288.15-0.0065*B68*0.3048))</x:f>
        <x:v>0.6351616440492905</x:v>
      </x:c>
      <x:c r="I68" s="11" t="n">
        <x:f>C68*SQRT(H68/1.225)</x:f>
        <x:v>266.4255136865483</x:v>
      </x:c>
      <x:c r="J68" s="11" t="n">
        <x:f>C68*0.44704/SQRT(1.4*287.05287*(288.15-0.0065*B68*0.3048))</x:f>
        <x:v>0.5250570661669346</x:v>
      </x:c>
      <x:c r="K68" s="12" t="n">
        <x:f>0.5*H68*(C68*0.44704)^2</x:f>
        <x:v>8688.613635909249</x:v>
      </x:c>
      <x:c r="L68" s="11" t="n">
        <x:f>'Assumptions'!$C$6*0.09290304</x:f>
        <x:v>21.646408320000003</x:v>
      </x:c>
      <x:c r="M68" s="11" t="n">
        <x:f>('Assumptions'!$C$7*0.3048)^2/L68</x:f>
        <x:v>5.875536480686696</x:v>
      </x:c>
      <x:c r="N68" s="11" t="n">
        <x:f>1/(PI()*M68*'Assumptions'!$C$9)</x:f>
        <x:v>0.06771932385027686</x:v>
      </x:c>
      <x:c r="O68" s="13" t="n">
        <x:f>G68/'Assumptions'!$C$6</x:f>
        <x:v>39.65665236051502</x:v>
      </x:c>
      <x:c r="P68" s="14" t="n">
        <x:f>F68/G68</x:f>
        <x:v>0.17012987012987013</x:v>
      </x:c>
      <x:c r="Q68" s="15" t="n">
        <x:f>G68*4.4482216153/(K68*L68)</x:f>
        <x:v>0.21853552993587147</x:v>
      </x:c>
      <x:c r="R68" s="15" t="n">
        <x:f>'Assumptions'!$C$8+'Assumptions'!$C$13</x:f>
        <x:v>0.016</x:v>
      </x:c>
      <x:c r="S68" s="15" t="n">
        <x:f>N68*Q68^2</x:f>
        <x:v>0.003234124424211262</x:v>
      </x:c>
      <x:c r="T68" s="15" t="n">
        <x:f>'Assumptions'!$C$14</x:f>
        <x:v>0</x:v>
      </x:c>
      <x:c r="U68" s="15" t="n">
        <x:f>SUM(R68:T68)</x:f>
        <x:v>0.01923412442421126</x:v>
      </x:c>
      <x:c r="V68" s="16" t="n">
        <x:f>K68*L68*R68/4.4482216153</x:f>
        <x:v>676.5032671958796</x:v>
      </x:c>
      <x:c r="W68" s="16" t="n">
        <x:f>K68*L68*S68/4.4482216153</x:f>
        <x:v>136.743483718557</x:v>
      </x:c>
      <x:c r="X68" s="16" t="n">
        <x:f>K68*L68*T68/4.4482216153</x:f>
        <x:v>0</x:v>
      </x:c>
      <x:c r="Y68" s="16" t="n">
        <x:f>SUM(V68:X68)</x:f>
        <x:v>813.2467509144367</x:v>
      </x:c>
      <x:c r="Z68" s="9" t="n">
        <x:f>V68/Y68</x:f>
        <x:v>0.8318548662324209</x:v>
      </x:c>
      <x:c r="AA68" s="9" t="n">
        <x:f>W68/Y68</x:f>
        <x:v>0.16814513376757906</x:v>
      </x:c>
      <x:c r="AB68" s="13" t="n">
        <x:f>G68/Y68</x:f>
        <x:v>11.361865251364723</x:v>
      </x:c>
      <x:c r="AC68" s="11" t="n">
        <x:f>'Assumptions'!$C$10</x:f>
        <x:v>0.8</x:v>
      </x:c>
      <x:c r="AD68" s="16" t="n">
        <x:f>F68</x:f>
        <x:v>1572</x:v>
      </x:c>
      <x:c r="AE68" s="16" t="n">
        <x:f>AD68*AC68</x:f>
        <x:v>1257.6000000000001</x:v>
      </x:c>
      <x:c r="AF68" s="16" t="n">
        <x:f>Y68*4.4482216153*(C68*0.44704)/745.6998716</x:f>
        <x:v>802.4034608902914</x:v>
      </x:c>
      <x:c r="AG68" s="16" t="n">
        <x:f>AF68/AC68</x:f>
        <x:v>1003.0043261128642</x:v>
      </x:c>
      <x:c r="AH68" s="16" t="n">
        <x:f>AE68-AF68</x:f>
        <x:v>455.19653910970874</x:v>
      </x:c>
      <x:c r="AI68" s="16" t="n">
        <x:f>AH68*745.6998716/(G68*4.4482216153)</x:f>
        <x:v>8.258565781113452</x:v>
      </x:c>
      <x:c r="AJ68" s="16" t="n">
        <x:f>AI68*196.8503937</x:f>
        <x:v>1625.7019254095312</x:v>
      </x:c>
      <x:c r="AK68" s="16" t="n">
        <x:f>AH68*745.6998716/(G68*0.45359237*C68*0.44704)</x:f>
        <x:v>0.48964034972428494</x:v>
      </x:c>
      <x:c r="AL68" s="16" t="n">
        <x:f>SQRT(2*G68*4.4482216153/(1.225*L68*'Assumptions'!$C$11))/0.44704</x:f>
        <x:v>98.46385799361909</x:v>
      </x:c>
      <x:c r="AM68" s="16" t="n">
        <x:f>MIN('Assumptions'!$C$12,'Assumptions'!$C$11*K68*L68/(G68*4.4482216153))</x:f>
        <x:v>6</x:v>
      </x:c>
      <x:c r="AN68" s="16" t="n">
        <x:f>IF(AE68*745.6998716/(C68*0.44704)-(V68+X68)*4.4482216153&lt;W68*4.4482216153,"n.a.",MIN(AM68,SQRT((AE68*745.6998716/(C68*0.44704)-(V68+X68)*4.4482216153)/(W68*4.4482216153))))</x:f>
        <x:v>2.0913678745078887</x:v>
      </x:c>
      <x:c r="AO68" s="16" t="n">
        <x:f>IF(AM68&gt;1,9.80665*SQRT(AM68^2-1)/(C68*0.44704)*180/PI(),"n.a.")</x:f>
        <x:v>20.09690694801352</x:v>
      </x:c>
      <x:c r="AP68" s="16" t="n">
        <x:f>IF(ISNUMBER(AN68),IF(AN68&gt;1,9.80665*SQRT(AN68^2-1)/(C68*0.44704)*180/PI(),"n.a."),"n.a.")</x:f>
        <x:v>6.239591058884299</x:v>
      </x:c>
      <x:c r="AQ68" s="16" t="n">
        <x:f>IF(AM68&gt;1,(C68*0.44704)^2/(9.80665*SQRT(AM68^2-1)),"n.a.")</x:f>
        <x:v>471.56495154804065</x:v>
      </x:c>
      <x:c r="AR68" s="16" t="n">
        <x:f>IF(ISNUMBER(AN68),IF(AN68&gt;1,(C68*0.44704)^2/(9.80665*SQRT(AN68^2-1)),"n.a."),"n.a.")</x:f>
        <x:v>1518.849049844632</x:v>
      </x:c>
      <x:c r="AS68" s="6" t="str">
        <x:f>IF(I68&gt;=AL68,"Within modeled CLmax","Below modeled stall")</x:f>
        <x:v>Within modeled CLmax</x:v>
      </x:c>
      <x:c r="AT68" s="6" t="str">
        <x:v>D: aero and eta estimated</x:v>
      </x:c>
      <x:c r="AU68" s="6" t="str">
        <x:v>Fixed BHP node snapshot; no source-backed 6G/CLmax/eta map</x:v>
      </x:c>
    </x:row>
    <x:row r="69">
      <x:c r="B69" s="10" t="n">
        <x:v>20800</x:v>
      </x:c>
      <x:c r="C69" s="10" t="n">
        <x:v>400</x:v>
      </x:c>
      <x:c r="D69" s="6" t="str">
        <x:v>75inHg</x:v>
      </x:c>
      <x:c r="E69" s="6" t="str">
        <x:v>high</x:v>
      </x:c>
      <x:c r="F69" s="6" t="n">
        <x:v>1572</x:v>
      </x:c>
      <x:c r="G69" s="6" t="n">
        <x:f>'Assumptions'!$C$5</x:f>
        <x:v>9240</x:v>
      </x:c>
      <x:c r="H69" s="11" t="n">
        <x:f>(101325*((288.15-0.0065*B69*0.3048)/288.15)^5.2558797)/(287.05287*(288.15-0.0065*B69*0.3048))</x:f>
        <x:v>0.6351616440492905</x:v>
      </x:c>
      <x:c r="I69" s="11" t="n">
        <x:f>C69*SQRT(H69/1.225)</x:f>
        <x:v>288.02758236383596</x:v>
      </x:c>
      <x:c r="J69" s="11" t="n">
        <x:f>C69*0.44704/SQRT(1.4*287.05287*(288.15-0.0065*B69*0.3048))</x:f>
        <x:v>0.5676292607210104</x:v>
      </x:c>
      <x:c r="K69" s="12" t="n">
        <x:f>0.5*H69*(C69*0.44704)^2</x:f>
        <x:v>10154.698186599562</x:v>
      </x:c>
      <x:c r="L69" s="11" t="n">
        <x:f>'Assumptions'!$C$6*0.09290304</x:f>
        <x:v>21.646408320000003</x:v>
      </x:c>
      <x:c r="M69" s="11" t="n">
        <x:f>('Assumptions'!$C$7*0.3048)^2/L69</x:f>
        <x:v>5.875536480686696</x:v>
      </x:c>
      <x:c r="N69" s="11" t="n">
        <x:f>1/(PI()*M69*'Assumptions'!$C$9)</x:f>
        <x:v>0.06771932385027686</x:v>
      </x:c>
      <x:c r="O69" s="13" t="n">
        <x:f>G69/'Assumptions'!$C$6</x:f>
        <x:v>39.65665236051502</x:v>
      </x:c>
      <x:c r="P69" s="14" t="n">
        <x:f>F69/G69</x:f>
        <x:v>0.17012987012987013</x:v>
      </x:c>
      <x:c r="Q69" s="15" t="n">
        <x:f>G69*4.4482216153/(K69*L69)</x:f>
        <x:v>0.18698446280138</x:v>
      </x:c>
      <x:c r="R69" s="15" t="n">
        <x:f>'Assumptions'!$C$8+'Assumptions'!$C$13</x:f>
        <x:v>0.016</x:v>
      </x:c>
      <x:c r="S69" s="15" t="n">
        <x:f>N69*Q69^2</x:f>
        <x:v>0.0023676835410172668</x:v>
      </x:c>
      <x:c r="T69" s="15" t="n">
        <x:f>'Assumptions'!$C$14</x:f>
        <x:v>0</x:v>
      </x:c>
      <x:c r="U69" s="15" t="n">
        <x:f>SUM(R69:T69)</x:f>
        <x:v>0.01836768354101727</x:v>
      </x:c>
      <x:c r="V69" s="16" t="n">
        <x:f>K69*L69*R69/4.4482216153</x:f>
        <x:v>790.653928059465</x:v>
      </x:c>
      <x:c r="W69" s="16" t="n">
        <x:f>K69*L69*S69/4.4482216153</x:f>
        <x:v>117.00114325669033</x:v>
      </x:c>
      <x:c r="X69" s="16" t="n">
        <x:f>K69*L69*T69/4.4482216153</x:f>
        <x:v>0</x:v>
      </x:c>
      <x:c r="Y69" s="16" t="n">
        <x:f>SUM(V69:X69)</x:f>
        <x:v>907.6550713161553</x:v>
      </x:c>
      <x:c r="Z69" s="9" t="n">
        <x:f>V69/Y69</x:f>
        <x:v>0.8710951473151233</x:v>
      </x:c>
      <x:c r="AA69" s="9" t="n">
        <x:f>W69/Y69</x:f>
        <x:v>0.12890485268487678</x:v>
      </x:c>
      <x:c r="AB69" s="13" t="n">
        <x:f>G69/Y69</x:f>
        <x:v>10.180078635600456</x:v>
      </x:c>
      <x:c r="AC69" s="11" t="n">
        <x:f>'Assumptions'!$C$10</x:f>
        <x:v>0.8</x:v>
      </x:c>
      <x:c r="AD69" s="16" t="n">
        <x:f>F69</x:f>
        <x:v>1572</x:v>
      </x:c>
      <x:c r="AE69" s="16" t="n">
        <x:f>AD69*AC69</x:f>
        <x:v>1257.6000000000001</x:v>
      </x:c>
      <x:c r="AF69" s="16" t="n">
        <x:f>Y69*4.4482216153*(C69*0.44704)/745.6998716</x:f>
        <x:v>968.165409389477</x:v>
      </x:c>
      <x:c r="AG69" s="16" t="n">
        <x:f>AF69/AC69</x:f>
        <x:v>1210.2067617368461</x:v>
      </x:c>
      <x:c r="AH69" s="16" t="n">
        <x:f>AE69-AF69</x:f>
        <x:v>289.4345906105232</x:v>
      </x:c>
      <x:c r="AI69" s="16" t="n">
        <x:f>AH69*745.6998716/(G69*4.4482216153)</x:f>
        <x:v>5.251170429726285</x:v>
      </x:c>
      <x:c r="AJ69" s="16" t="n">
        <x:f>AI69*196.8503937</x:f>
        <x:v>1033.6949664774174</x:v>
      </x:c>
      <x:c r="AK69" s="16" t="n">
        <x:f>AH69*745.6998716/(G69*0.45359237*C69*0.44704)</x:f>
        <x:v>0.28798536202091846</x:v>
      </x:c>
      <x:c r="AL69" s="16" t="n">
        <x:f>SQRT(2*G69*4.4482216153/(1.225*L69*'Assumptions'!$C$11))/0.44704</x:f>
        <x:v>98.46385799361909</x:v>
      </x:c>
      <x:c r="AM69" s="16" t="n">
        <x:f>MIN('Assumptions'!$C$12,'Assumptions'!$C$11*K69*L69/(G69*4.4482216153))</x:f>
        <x:v>6</x:v>
      </x:c>
      <x:c r="AN69" s="16" t="n">
        <x:f>IF(AE69*745.6998716/(C69*0.44704)-(V69+X69)*4.4482216153&lt;W69*4.4482216153,"n.a.",MIN(AM69,SQRT((AE69*745.6998716/(C69*0.44704)-(V69+X69)*4.4482216153)/(W69*4.4482216153))))</x:f>
        <x:v>1.8218575035535831</x:v>
      </x:c>
      <x:c r="AO69" s="16" t="n">
        <x:f>IF(AM69&gt;1,9.80665*SQRT(AM69^2-1)/(C69*0.44704)*180/PI(),"n.a.")</x:f>
        <x:v>18.589638926912507</x:v>
      </x:c>
      <x:c r="AP69" s="16" t="n">
        <x:f>IF(ISNUMBER(AN69),IF(AN69&gt;1,9.80665*SQRT(AN69^2-1)/(C69*0.44704)*180/PI(),"n.a."),"n.a.")</x:f>
        <x:v>4.785229089417552</x:v>
      </x:c>
      <x:c r="AQ69" s="16" t="n">
        <x:f>IF(AM69&gt;1,(C69*0.44704)^2/(9.80665*SQRT(AM69^2-1)),"n.a.")</x:f>
        <x:v>551.1350785075714</x:v>
      </x:c>
      <x:c r="AR69" s="16" t="n">
        <x:f>IF(ISNUMBER(AN69),IF(AN69&gt;1,(C69*0.44704)^2/(9.80665*SQRT(AN69^2-1)),"n.a."),"n.a.")</x:f>
        <x:v>2141.0473601083913</x:v>
      </x:c>
      <x:c r="AS69" s="6" t="str">
        <x:f>IF(I69&gt;=AL69,"Within modeled CLmax","Below modeled stall")</x:f>
        <x:v>Within modeled CLmax</x:v>
      </x:c>
      <x:c r="AT69" s="6" t="str">
        <x:v>D: aero and eta estimated</x:v>
      </x:c>
      <x:c r="AU69" s="6" t="str">
        <x:v>Fixed BHP node snapshot; no source-backed 6G/CLmax/eta map</x:v>
      </x:c>
    </x:row>
    <x:row r="70">
      <x:c r="B70" s="10" t="n">
        <x:v>20800</x:v>
      </x:c>
      <x:c r="C70" s="10" t="n">
        <x:v>430</x:v>
      </x:c>
      <x:c r="D70" s="6" t="str">
        <x:v>75inHg</x:v>
      </x:c>
      <x:c r="E70" s="6" t="str">
        <x:v>high</x:v>
      </x:c>
      <x:c r="F70" s="6" t="n">
        <x:v>1572</x:v>
      </x:c>
      <x:c r="G70" s="6" t="n">
        <x:f>'Assumptions'!$C$5</x:f>
        <x:v>9240</x:v>
      </x:c>
      <x:c r="H70" s="11" t="n">
        <x:f>(101325*((288.15-0.0065*B70*0.3048)/288.15)^5.2558797)/(287.05287*(288.15-0.0065*B70*0.3048))</x:f>
        <x:v>0.6351616440492905</x:v>
      </x:c>
      <x:c r="I70" s="11" t="n">
        <x:f>C70*SQRT(H70/1.225)</x:f>
        <x:v>309.6296510411237</x:v>
      </x:c>
      <x:c r="J70" s="11" t="n">
        <x:f>C70*0.44704/SQRT(1.4*287.05287*(288.15-0.0065*B70*0.3048))</x:f>
        <x:v>0.6102014552750862</x:v>
      </x:c>
      <x:c r="K70" s="12" t="n">
        <x:f>0.5*H70*(C70*0.44704)^2</x:f>
        <x:v>11735.02309188912</x:v>
      </x:c>
      <x:c r="L70" s="11" t="n">
        <x:f>'Assumptions'!$C$6*0.09290304</x:f>
        <x:v>21.646408320000003</x:v>
      </x:c>
      <x:c r="M70" s="11" t="n">
        <x:f>('Assumptions'!$C$7*0.3048)^2/L70</x:f>
        <x:v>5.875536480686696</x:v>
      </x:c>
      <x:c r="N70" s="11" t="n">
        <x:f>1/(PI()*M70*'Assumptions'!$C$9)</x:f>
        <x:v>0.06771932385027686</x:v>
      </x:c>
      <x:c r="O70" s="13" t="n">
        <x:f>G70/'Assumptions'!$C$6</x:f>
        <x:v>39.65665236051502</x:v>
      </x:c>
      <x:c r="P70" s="14" t="n">
        <x:f>F70/G70</x:f>
        <x:v>0.17012987012987013</x:v>
      </x:c>
      <x:c r="Q70" s="15" t="n">
        <x:f>G70*4.4482216153/(K70*L70)</x:f>
        <x:v>0.16180375364099944</x:v>
      </x:c>
      <x:c r="R70" s="15" t="n">
        <x:f>'Assumptions'!$C$8+'Assumptions'!$C$13</x:f>
        <x:v>0.016</x:v>
      </x:c>
      <x:c r="S70" s="15" t="n">
        <x:f>N70*Q70^2</x:f>
        <x:v>0.0017729226898565316</x:v>
      </x:c>
      <x:c r="T70" s="15" t="n">
        <x:f>'Assumptions'!$C$14</x:f>
        <x:v>0</x:v>
      </x:c>
      <x:c r="U70" s="15" t="n">
        <x:f>SUM(R70:T70)</x:f>
        <x:v>0.017772922689856533</x:v>
      </x:c>
      <x:c r="V70" s="16" t="n">
        <x:f>K70*L70*R70/4.4482216153</x:f>
        <x:v>913.6994456137194</x:v>
      </x:c>
      <x:c r="W70" s="16" t="n">
        <x:f>K70*L70*S70/4.4482216153</x:f>
        <x:v>101.24490492736855</x:v>
      </x:c>
      <x:c r="X70" s="16" t="n">
        <x:f>K70*L70*T70/4.4482216153</x:f>
        <x:v>0</x:v>
      </x:c>
      <x:c r="Y70" s="16" t="n">
        <x:f>SUM(V70:X70)</x:f>
        <x:v>1014.9443505410879</x:v>
      </x:c>
      <x:c r="Z70" s="9" t="n">
        <x:f>V70/Y70</x:f>
        <x:v>0.9002458559689575</x:v>
      </x:c>
      <x:c r="AA70" s="9" t="n">
        <x:f>W70/Y70</x:f>
        <x:v>0.09975414403104248</x:v>
      </x:c>
      <x:c r="AB70" s="13" t="n">
        <x:f>G70/Y70</x:f>
        <x:v>9.10394741847074</x:v>
      </x:c>
      <x:c r="AC70" s="11" t="n">
        <x:f>'Assumptions'!$C$10</x:f>
        <x:v>0.8</x:v>
      </x:c>
      <x:c r="AD70" s="16" t="n">
        <x:f>F70</x:f>
        <x:v>1572</x:v>
      </x:c>
      <x:c r="AE70" s="16" t="n">
        <x:f>AD70*AC70</x:f>
        <x:v>1257.6000000000001</x:v>
      </x:c>
      <x:c r="AF70" s="16" t="n">
        <x:f>Y70*4.4482216153*(C70*0.44704)/745.6998716</x:f>
        <x:v>1163.8028552697779</x:v>
      </x:c>
      <x:c r="AG70" s="16" t="n">
        <x:f>AF70/AC70</x:f>
        <x:v>1454.7535690872223</x:v>
      </x:c>
      <x:c r="AH70" s="16" t="n">
        <x:f>AE70-AF70</x:f>
        <x:v>93.79714473022227</x:v>
      </x:c>
      <x:c r="AI70" s="16" t="n">
        <x:f>AH70*745.6998716/(G70*4.4482216153)</x:f>
        <x:v>1.7017481972736679</x:v>
      </x:c>
      <x:c r="AJ70" s="16" t="n">
        <x:f>AI70*196.8503937</x:f>
        <x:v>334.9898026115868</x:v>
      </x:c>
      <x:c r="AK70" s="16" t="n">
        <x:f>AH70*745.6998716/(G70*0.45359237*C70*0.44704)</x:f>
        <x:v>0.08681627240547647</x:v>
      </x:c>
      <x:c r="AL70" s="16" t="n">
        <x:f>SQRT(2*G70*4.4482216153/(1.225*L70*'Assumptions'!$C$11))/0.44704</x:f>
        <x:v>98.46385799361909</x:v>
      </x:c>
      <x:c r="AM70" s="16" t="n">
        <x:f>MIN('Assumptions'!$C$12,'Assumptions'!$C$11*K70*L70/(G70*4.4482216153))</x:f>
        <x:v>6</x:v>
      </x:c>
      <x:c r="AN70" s="16" t="n">
        <x:f>IF(AE70*745.6998716/(C70*0.44704)-(V70+X70)*4.4482216153&lt;W70*4.4482216153,"n.a.",MIN(AM70,SQRT((AE70*745.6998716/(C70*0.44704)-(V70+X70)*4.4482216153)/(W70*4.4482216153))))</x:f>
        <x:v>1.3445966930731472</x:v>
      </x:c>
      <x:c r="AO70" s="16" t="n">
        <x:f>IF(AM70&gt;1,9.80665*SQRT(AM70^2-1)/(C70*0.44704)*180/PI(),"n.a.")</x:f>
        <x:v>17.2926873738721</x:v>
      </x:c>
      <x:c r="AP70" s="16" t="n">
        <x:f>IF(ISNUMBER(AN70),IF(AN70&gt;1,9.80665*SQRT(AN70^2-1)/(C70*0.44704)*180/PI(),"n.a."),"n.a.")</x:f>
        <x:v>2.627350991881404</x:v>
      </x:c>
      <x:c r="AQ70" s="16" t="n">
        <x:f>IF(AM70&gt;1,(C70*0.44704)^2/(9.80665*SQRT(AM70^2-1)),"n.a.")</x:f>
        <x:v>636.9054751003122</x:v>
      </x:c>
      <x:c r="AR70" s="16" t="n">
        <x:f>IF(ISNUMBER(AN70),IF(AN70&gt;1,(C70*0.44704)^2/(9.80665*SQRT(AN70^2-1)),"n.a."),"n.a.")</x:f>
        <x:v>4191.981696259915</x:v>
      </x:c>
      <x:c r="AS70" s="6" t="str">
        <x:f>IF(I70&gt;=AL70,"Within modeled CLmax","Below modeled stall")</x:f>
        <x:v>Within modeled CLmax</x:v>
      </x:c>
      <x:c r="AT70" s="6" t="str">
        <x:v>D: aero and eta estimated</x:v>
      </x:c>
      <x:c r="AU70" s="6" t="str">
        <x:v>Fixed BHP node snapshot; no source-backed 6G/CLmax/eta map</x:v>
      </x:c>
    </x:row>
  </x:sheetData>
  <x:pageMargins left="0.7" right="0.7" top="0.75" bottom="0.75" header="0.3" footer="0.3"/>
  <x:tableParts count="1">
    <x:tablePart xmlns:r="http://schemas.openxmlformats.org/officeDocument/2006/relationships" r:id="R0a786b8c12af4c66"/>
  </x:tableParts>
</x:worksheet>
</file>

<file path=xl/worksheets/sheet3.xml><?xml version="1.0" encoding="utf-8"?>
<x:worksheet xmlns:x="http://schemas.openxmlformats.org/spreadsheetml/2006/main">
  <x:sheetPr>
    <x:tabColor rgb="FF234F7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65" hidden="0" customWidth="1"/>
  </x:cols>
  <x:sheetData>
    <x:row r="2">
      <x:c r="B2" s="1" t="str">
        <x:v>P-51B-15 original reported engine-power nodes</x:v>
      </x:c>
    </x:row>
    <x:row r="3">
      <x:c r="B3" s="2"/>
      <x:c r="C3" s="2"/>
      <x:c r="D3" s="2"/>
      <x:c r="E3" s="2"/>
      <x:c r="F3" s="2"/>
      <x:c r="G3" s="2"/>
      <x:c r="H3" s="2"/>
    </x:row>
    <x:row r="4" ht="30" customHeight="1">
      <x:c r="B4" s="5" t="str">
        <x:v>Rating</x:v>
      </x:c>
      <x:c r="C4" s="5" t="str">
        <x:v>Blower</x:v>
      </x:c>
      <x:c r="D4" s="5" t="str">
        <x:v>Altitude ft</x:v>
      </x:c>
      <x:c r="E4" s="5" t="str">
        <x:v>Shaft BHP</x:v>
      </x:c>
      <x:c r="F4" s="5" t="str">
        <x:v>RPM</x:v>
      </x:c>
      <x:c r="G4" s="5" t="str">
        <x:v>Manifold inHg</x:v>
      </x:c>
      <x:c r="H4" s="5" t="str">
        <x:v>Evidence</x:v>
      </x:c>
      <x:c r="I4" s="5" t="str">
        <x:v>Source meaning</x:v>
      </x:c>
    </x:row>
    <x:row r="5">
      <x:c r="B5" s="6" t="str">
        <x:v>67inHg</x:v>
      </x:c>
      <x:c r="C5" s="6" t="str">
        <x:v>low</x:v>
      </x:c>
      <x:c r="D5" s="6" t="n">
        <x:v>0</x:v>
      </x:c>
      <x:c r="E5" s="6" t="n">
        <x:v>1580</x:v>
      </x:c>
      <x:c r="F5" s="6" t="n">
        <x:v>3000</x:v>
      </x:c>
      <x:c r="G5" s="6" t="n">
        <x:v>67</x:v>
      </x:c>
      <x:c r="H5" s="6" t="str">
        <x:v>USAAF Eng-47-1715-A</x:v>
      </x:c>
      <x:c r="I5" s="6" t="str">
        <x:v>1944 test: present war emergency rating</x:v>
      </x:c>
    </x:row>
    <x:row r="6">
      <x:c r="B6" s="6" t="str">
        <x:v>67inHg</x:v>
      </x:c>
      <x:c r="C6" s="6" t="str">
        <x:v>low</x:v>
      </x:c>
      <x:c r="D6" s="6" t="n">
        <x:v>4000</x:v>
      </x:c>
      <x:c r="E6" s="6" t="n">
        <x:v>1622</x:v>
      </x:c>
      <x:c r="F6" s="6" t="n">
        <x:v>3000</x:v>
      </x:c>
      <x:c r="G6" s="6" t="n">
        <x:v>67</x:v>
      </x:c>
      <x:c r="H6" s="6" t="str">
        <x:v>USAAF Eng-47-1715-A</x:v>
      </x:c>
      <x:c r="I6" s="6" t="str">
        <x:v>1944 test: present war emergency rating</x:v>
      </x:c>
    </x:row>
    <x:row r="7">
      <x:c r="B7" s="6" t="str">
        <x:v>67inHg</x:v>
      </x:c>
      <x:c r="C7" s="6" t="str">
        <x:v>low</x:v>
      </x:c>
      <x:c r="D7" s="6" t="n">
        <x:v>7400</x:v>
      </x:c>
      <x:c r="E7" s="6" t="n">
        <x:v>1660</x:v>
      </x:c>
      <x:c r="F7" s="6" t="n">
        <x:v>3000</x:v>
      </x:c>
      <x:c r="G7" s="6" t="n">
        <x:v>67</x:v>
      </x:c>
      <x:c r="H7" s="6" t="str">
        <x:v>USAAF Eng-47-1715-A</x:v>
      </x:c>
      <x:c r="I7" s="6" t="str">
        <x:v>1944 test: present war emergency rating</x:v>
      </x:c>
    </x:row>
    <x:row r="8">
      <x:c r="B8" s="6" t="str">
        <x:v>67inHg</x:v>
      </x:c>
      <x:c r="C8" s="6" t="str">
        <x:v>low</x:v>
      </x:c>
      <x:c r="D8" s="6" t="n">
        <x:v>10300</x:v>
      </x:c>
      <x:c r="E8" s="6" t="n">
        <x:v>1695</x:v>
      </x:c>
      <x:c r="F8" s="6" t="n">
        <x:v>3000</x:v>
      </x:c>
      <x:c r="G8" s="6" t="n">
        <x:v>67</x:v>
      </x:c>
      <x:c r="H8" s="6" t="str">
        <x:v>USAAF Eng-47-1715-A</x:v>
      </x:c>
      <x:c r="I8" s="6" t="str">
        <x:v>1944 test: present war emergency rating</x:v>
      </x:c>
    </x:row>
    <x:row r="9">
      <x:c r="B9" s="6" t="str">
        <x:v>67inHg</x:v>
      </x:c>
      <x:c r="C9" s="6" t="str">
        <x:v>low</x:v>
      </x:c>
      <x:c r="D9" s="6" t="n">
        <x:v>17000</x:v>
      </x:c>
      <x:c r="E9" s="6" t="n">
        <x:v>1350</x:v>
      </x:c>
      <x:c r="F9" s="6" t="n">
        <x:v>3000</x:v>
      </x:c>
      <x:c r="G9" s="6" t="n">
        <x:v>67</x:v>
      </x:c>
      <x:c r="H9" s="6" t="str">
        <x:v>USAAF Eng-47-1715-A</x:v>
      </x:c>
      <x:c r="I9" s="6" t="str">
        <x:v>1944 test: present war emergency rating</x:v>
      </x:c>
    </x:row>
    <x:row r="10">
      <x:c r="B10" s="6" t="str">
        <x:v>67inHg</x:v>
      </x:c>
      <x:c r="C10" s="6" t="str">
        <x:v>low</x:v>
      </x:c>
      <x:c r="D10" s="6" t="n">
        <x:v>24000</x:v>
      </x:c>
      <x:c r="E10" s="6" t="n">
        <x:v>1037</x:v>
      </x:c>
      <x:c r="F10" s="6" t="n">
        <x:v>3000</x:v>
      </x:c>
      <x:c r="G10" s="6" t="n">
        <x:v>67</x:v>
      </x:c>
      <x:c r="H10" s="6" t="str">
        <x:v>USAAF Eng-47-1715-A</x:v>
      </x:c>
      <x:c r="I10" s="6" t="str">
        <x:v>1944 test: present war emergency rating</x:v>
      </x:c>
    </x:row>
    <x:row r="11">
      <x:c r="B11" s="6" t="str">
        <x:v>67inHg</x:v>
      </x:c>
      <x:c r="C11" s="6" t="str">
        <x:v>high</x:v>
      </x:c>
      <x:c r="D11" s="6" t="n">
        <x:v>18000</x:v>
      </x:c>
      <x:c r="E11" s="6" t="n">
        <x:v>1390</x:v>
      </x:c>
      <x:c r="F11" s="6" t="n">
        <x:v>3000</x:v>
      </x:c>
      <x:c r="G11" s="6" t="n">
        <x:v>67</x:v>
      </x:c>
      <x:c r="H11" s="6" t="str">
        <x:v>USAAF Eng-47-1715-A</x:v>
      </x:c>
      <x:c r="I11" s="6" t="str">
        <x:v>1944 test: present war emergency rating</x:v>
      </x:c>
    </x:row>
    <x:row r="12">
      <x:c r="B12" s="6" t="str">
        <x:v>67inHg</x:v>
      </x:c>
      <x:c r="C12" s="6" t="str">
        <x:v>high</x:v>
      </x:c>
      <x:c r="D12" s="6" t="n">
        <x:v>20800</x:v>
      </x:c>
      <x:c r="E12" s="6" t="n">
        <x:v>1390</x:v>
      </x:c>
      <x:c r="F12" s="6" t="n">
        <x:v>3000</x:v>
      </x:c>
      <x:c r="G12" s="6" t="n">
        <x:v>67</x:v>
      </x:c>
      <x:c r="H12" s="6" t="str">
        <x:v>USAAF Eng-47-1715-A</x:v>
      </x:c>
      <x:c r="I12" s="6" t="str">
        <x:v>1944 test: present war emergency rating</x:v>
      </x:c>
    </x:row>
    <x:row r="13">
      <x:c r="B13" s="6" t="str">
        <x:v>67inHg</x:v>
      </x:c>
      <x:c r="C13" s="6" t="str">
        <x:v>high</x:v>
      </x:c>
      <x:c r="D13" s="6" t="n">
        <x:v>24000</x:v>
      </x:c>
      <x:c r="E13" s="6" t="n">
        <x:v>1390</x:v>
      </x:c>
      <x:c r="F13" s="6" t="n">
        <x:v>3000</x:v>
      </x:c>
      <x:c r="G13" s="6" t="n">
        <x:v>67</x:v>
      </x:c>
      <x:c r="H13" s="6" t="str">
        <x:v>USAAF Eng-47-1715-A</x:v>
      </x:c>
      <x:c r="I13" s="6" t="str">
        <x:v>1944 test: present war emergency rating</x:v>
      </x:c>
    </x:row>
    <x:row r="14">
      <x:c r="B14" s="6" t="str">
        <x:v>67inHg</x:v>
      </x:c>
      <x:c r="C14" s="6" t="str">
        <x:v>high</x:v>
      </x:c>
      <x:c r="D14" s="6" t="n">
        <x:v>28000</x:v>
      </x:c>
      <x:c r="E14" s="6" t="n">
        <x:v>1200</x:v>
      </x:c>
      <x:c r="F14" s="6" t="n">
        <x:v>3000</x:v>
      </x:c>
      <x:c r="G14" s="6" t="n">
        <x:v>67</x:v>
      </x:c>
      <x:c r="H14" s="6" t="str">
        <x:v>USAAF Eng-47-1715-A</x:v>
      </x:c>
      <x:c r="I14" s="6" t="str">
        <x:v>1944 test: present war emergency rating</x:v>
      </x:c>
    </x:row>
    <x:row r="15">
      <x:c r="B15" s="6" t="str">
        <x:v>67inHg</x:v>
      </x:c>
      <x:c r="C15" s="6" t="str">
        <x:v>high</x:v>
      </x:c>
      <x:c r="D15" s="6" t="n">
        <x:v>32000</x:v>
      </x:c>
      <x:c r="E15" s="6" t="n">
        <x:v>1038</x:v>
      </x:c>
      <x:c r="F15" s="6" t="n">
        <x:v>3000</x:v>
      </x:c>
      <x:c r="G15" s="6" t="n">
        <x:v>67</x:v>
      </x:c>
      <x:c r="H15" s="6" t="str">
        <x:v>USAAF Eng-47-1715-A</x:v>
      </x:c>
      <x:c r="I15" s="6" t="str">
        <x:v>1944 test: present war emergency rating</x:v>
      </x:c>
    </x:row>
    <x:row r="16">
      <x:c r="B16" s="6" t="str">
        <x:v>75inHg</x:v>
      </x:c>
      <x:c r="C16" s="6" t="str">
        <x:v>low</x:v>
      </x:c>
      <x:c r="D16" s="6" t="n">
        <x:v>0</x:v>
      </x:c>
      <x:c r="E16" s="6" t="n">
        <x:v>1788</x:v>
      </x:c>
      <x:c r="F16" s="6" t="n">
        <x:v>3000</x:v>
      </x:c>
      <x:c r="G16" s="6" t="n">
        <x:v>75</x:v>
      </x:c>
      <x:c r="H16" s="6" t="str">
        <x:v>USAAF Eng-47-1715-A</x:v>
      </x:c>
      <x:c r="I16" s="6" t="str">
        <x:v>1944 experimental/proposed rating with 44-1 fuel; NOT blanket authorization for every operational P-51B</x:v>
      </x:c>
    </x:row>
    <x:row r="17">
      <x:c r="B17" s="6" t="str">
        <x:v>75inHg</x:v>
      </x:c>
      <x:c r="C17" s="6" t="str">
        <x:v>low</x:v>
      </x:c>
      <x:c r="D17" s="6" t="n">
        <x:v>4000</x:v>
      </x:c>
      <x:c r="E17" s="6" t="n">
        <x:v>1830</x:v>
      </x:c>
      <x:c r="F17" s="6" t="n">
        <x:v>3000</x:v>
      </x:c>
      <x:c r="G17" s="6" t="n">
        <x:v>75</x:v>
      </x:c>
      <x:c r="H17" s="6" t="str">
        <x:v>USAAF Eng-47-1715-A</x:v>
      </x:c>
      <x:c r="I17" s="6" t="str">
        <x:v>1944 experimental/proposed rating with 44-1 fuel; NOT blanket authorization for every operational P-51B</x:v>
      </x:c>
    </x:row>
    <x:row r="18">
      <x:c r="B18" s="6" t="str">
        <x:v>75inHg</x:v>
      </x:c>
      <x:c r="C18" s="6" t="str">
        <x:v>low</x:v>
      </x:c>
      <x:c r="D18" s="6" t="n">
        <x:v>7400</x:v>
      </x:c>
      <x:c r="E18" s="6" t="n">
        <x:v>1868</x:v>
      </x:c>
      <x:c r="F18" s="6" t="n">
        <x:v>3000</x:v>
      </x:c>
      <x:c r="G18" s="6" t="n">
        <x:v>75</x:v>
      </x:c>
      <x:c r="H18" s="6" t="str">
        <x:v>USAAF Eng-47-1715-A</x:v>
      </x:c>
      <x:c r="I18" s="6" t="str">
        <x:v>1944 experimental/proposed rating with 44-1 fuel; NOT blanket authorization for every operational P-51B</x:v>
      </x:c>
    </x:row>
    <x:row r="19">
      <x:c r="B19" s="6" t="str">
        <x:v>75inHg</x:v>
      </x:c>
      <x:c r="C19" s="6" t="str">
        <x:v>high</x:v>
      </x:c>
      <x:c r="D19" s="6" t="n">
        <x:v>18000</x:v>
      </x:c>
      <x:c r="E19" s="6" t="n">
        <x:v>1577</x:v>
      </x:c>
      <x:c r="F19" s="6" t="n">
        <x:v>3000</x:v>
      </x:c>
      <x:c r="G19" s="6" t="n">
        <x:v>75</x:v>
      </x:c>
      <x:c r="H19" s="6" t="str">
        <x:v>USAAF Eng-47-1715-A</x:v>
      </x:c>
      <x:c r="I19" s="6" t="str">
        <x:v>1944 experimental/proposed rating with 44-1 fuel; NOT blanket authorization for every operational P-51B</x:v>
      </x:c>
    </x:row>
    <x:row r="20">
      <x:c r="B20" s="6" t="str">
        <x:v>75inHg</x:v>
      </x:c>
      <x:c r="C20" s="6" t="str">
        <x:v>high</x:v>
      </x:c>
      <x:c r="D20" s="6" t="n">
        <x:v>20800</x:v>
      </x:c>
      <x:c r="E20" s="6" t="n">
        <x:v>1572</x:v>
      </x:c>
      <x:c r="F20" s="6" t="n">
        <x:v>3000</x:v>
      </x:c>
      <x:c r="G20" s="6" t="n">
        <x:v>75</x:v>
      </x:c>
      <x:c r="H20" s="6" t="str">
        <x:v>USAAF Eng-47-1715-A</x:v>
      </x:c>
      <x:c r="I20" s="6" t="str">
        <x:v>1944 experimental/proposed rating with 44-1 fuel; NOT blanket authorization for every operational P-51B</x:v>
      </x:c>
    </x:row>
    <x:row r="23">
      <x:c r="B23" t="str">
        <x:v>Original speeds and climb observations are stored separately from these chart-derived BHP figures.</x:v>
      </x:c>
    </x:row>
  </x:sheetData>
  <x:pageMargins left="0.7" right="0.7" top="0.75" bottom="0.75" header="0.3" footer="0.3"/>
  <x:tableParts count="1">
    <x:tablePart xmlns:r="http://schemas.openxmlformats.org/officeDocument/2006/relationships" r:id="Re7513f6a69e842a4"/>
  </x:tableParts>
</x:worksheet>
</file>

<file path=xl/worksheets/sheet4.xml><?xml version="1.0" encoding="utf-8"?>
<x:worksheet xmlns:x="http://schemas.openxmlformats.org/spreadsheetml/2006/main">
  <x:sheetPr>
    <x:tabColor rgb="FF234F7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62" hidden="0" customWidth="1"/>
  </x:cols>
  <x:sheetData>
    <x:row r="2">
      <x:c r="B2" s="1" t="str">
        <x:v>P-51B flight-test comparison</x:v>
      </x:c>
    </x:row>
    <x:row r="3"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B4" s="5" t="str">
        <x:v>Altitude ft</x:v>
      </x:c>
      <x:c r="C4" s="5" t="str">
        <x:v>Gear</x:v>
      </x:c>
      <x:c r="D4" s="5" t="str">
        <x:v>Rating</x:v>
      </x:c>
      <x:c r="E4" s="5" t="str">
        <x:v>Observed mph TAS</x:v>
      </x:c>
      <x:c r="F4" s="5" t="str">
        <x:v>Model mph TAS</x:v>
      </x:c>
      <x:c r="G4" s="5" t="str">
        <x:v>Residual mph</x:v>
      </x:c>
      <x:c r="H4" s="5" t="str">
        <x:v>Residual %</x:v>
      </x:c>
      <x:c r="I4" s="5" t="str">
        <x:v>Observation quality</x:v>
      </x:c>
      <x:c r="J4" s="5" t="str">
        <x:v>Caveat</x:v>
      </x:c>
    </x:row>
    <x:row r="5">
      <x:c r="B5" s="12" t="n">
        <x:v>0</x:v>
      </x:c>
      <x:c r="C5" s="6" t="str">
        <x:v>low</x:v>
      </x:c>
      <x:c r="D5" s="6" t="str">
        <x:v>67inHg</x:v>
      </x:c>
      <x:c r="E5" s="13" t="n">
        <x:v>361.5</x:v>
      </x:c>
      <x:c r="F5" s="13" t="n">
        <x:v>360.65433228969624</x:v>
      </x:c>
      <x:c r="G5" s="13" t="n">
        <x:v>-0.8456677103037578</x:v>
      </x:c>
      <x:c r="H5" s="9" t="n">
        <x:v>-0.0023393297657088733</x:v>
      </x:c>
      <x:c r="I5" s="6" t="str">
        <x:v>A speed / B BHP</x:v>
      </x:c>
      <x:c r="J5" s="6" t="str">
        <x:v>Calibrated model, 9240 lb held constant</x:v>
      </x:c>
    </x:row>
    <x:row r="6">
      <x:c r="B6" s="12" t="n">
        <x:v>4000</x:v>
      </x:c>
      <x:c r="C6" s="6" t="str">
        <x:v>low</x:v>
      </x:c>
      <x:c r="D6" s="6" t="str">
        <x:v>67inHg</x:v>
      </x:c>
      <x:c r="E6" s="13" t="n">
        <x:v>380</x:v>
      </x:c>
      <x:c r="F6" s="13" t="n">
        <x:v>378.15371651319964</x:v>
      </x:c>
      <x:c r="G6" s="13" t="n">
        <x:v>-1.8462834868003597</x:v>
      </x:c>
      <x:c r="H6" s="9" t="n">
        <x:v>-0.004858640754737789</x:v>
      </x:c>
      <x:c r="I6" s="6" t="str">
        <x:v>A speed / B BHP</x:v>
      </x:c>
      <x:c r="J6" s="6" t="str">
        <x:v>Calibrated model, 9240 lb held constant</x:v>
      </x:c>
    </x:row>
    <x:row r="7">
      <x:c r="B7" s="12" t="n">
        <x:v>7400</x:v>
      </x:c>
      <x:c r="C7" s="6" t="str">
        <x:v>low</x:v>
      </x:c>
      <x:c r="D7" s="6" t="str">
        <x:v>67inHg</x:v>
      </x:c>
      <x:c r="E7" s="13" t="n">
        <x:v>395.5</x:v>
      </x:c>
      <x:c r="F7" s="13" t="n">
        <x:v>394.137370963459</x:v>
      </x:c>
      <x:c r="G7" s="13" t="n">
        <x:v>-1.3626290365410227</x:v>
      </x:c>
      <x:c r="H7" s="9" t="n">
        <x:v>-0.003445332582910298</x:v>
      </x:c>
      <x:c r="I7" s="6" t="str">
        <x:v>A speed / B BHP</x:v>
      </x:c>
      <x:c r="J7" s="6" t="str">
        <x:v>Calibrated model, 9240 lb held constant</x:v>
      </x:c>
    </x:row>
    <x:row r="8">
      <x:c r="B8" s="12" t="n">
        <x:v>10300</x:v>
      </x:c>
      <x:c r="C8" s="6" t="str">
        <x:v>low</x:v>
      </x:c>
      <x:c r="D8" s="6" t="str">
        <x:v>67inHg</x:v>
      </x:c>
      <x:c r="E8" s="13" t="n">
        <x:v>409</x:v>
      </x:c>
      <x:c r="F8" s="13" t="n">
        <x:v>408.72152617084026</x:v>
      </x:c>
      <x:c r="G8" s="13" t="n">
        <x:v>-0.2784738291597364</x:v>
      </x:c>
      <x:c r="H8" s="9" t="n">
        <x:v>-0.0006808651079700156</x:v>
      </x:c>
      <x:c r="I8" s="6" t="str">
        <x:v>A speed / B BHP</x:v>
      </x:c>
      <x:c r="J8" s="6" t="str">
        <x:v>Calibrated model, 9240 lb held constant</x:v>
      </x:c>
    </x:row>
    <x:row r="9">
      <x:c r="B9" s="12" t="n">
        <x:v>18000</x:v>
      </x:c>
      <x:c r="C9" s="6" t="str">
        <x:v>high</x:v>
      </x:c>
      <x:c r="D9" s="6" t="str">
        <x:v>67inHg</x:v>
      </x:c>
      <x:c r="E9" s="13" t="n">
        <x:v>408</x:v>
      </x:c>
      <x:c r="F9" s="13" t="n">
        <x:v>410.4198795129187</x:v>
      </x:c>
      <x:c r="G9" s="13" t="n">
        <x:v>2.419879512918726</x:v>
      </x:c>
      <x:c r="H9" s="9" t="n">
        <x:v>0.005931077237545897</x:v>
      </x:c>
      <x:c r="I9" s="6" t="str">
        <x:v>A speed / B BHP</x:v>
      </x:c>
      <x:c r="J9" s="6" t="str">
        <x:v>Calibrated model, 9240 lb held constant</x:v>
      </x:c>
    </x:row>
    <x:row r="10">
      <x:c r="B10" s="12" t="n">
        <x:v>20800</x:v>
      </x:c>
      <x:c r="C10" s="6" t="str">
        <x:v>high</x:v>
      </x:c>
      <x:c r="D10" s="6" t="str">
        <x:v>67inHg</x:v>
      </x:c>
      <x:c r="E10" s="13" t="n">
        <x:v>417</x:v>
      </x:c>
      <x:c r="F10" s="13" t="n">
        <x:v>422.5011259261308</x:v>
      </x:c>
      <x:c r="G10" s="13" t="n">
        <x:v>5.501125926130783</x:v>
      </x:c>
      <x:c r="H10" s="9" t="n">
        <x:v>0.01319214850391075</x:v>
      </x:c>
      <x:c r="I10" s="6" t="str">
        <x:v>A speed / B BHP</x:v>
      </x:c>
      <x:c r="J10" s="6" t="str">
        <x:v>Calibrated model, 9240 lb held constant</x:v>
      </x:c>
    </x:row>
    <x:row r="11">
      <x:c r="B11" s="12" t="n">
        <x:v>24000</x:v>
      </x:c>
      <x:c r="C11" s="6" t="str">
        <x:v>high</x:v>
      </x:c>
      <x:c r="D11" s="6" t="str">
        <x:v>67inHg</x:v>
      </x:c>
      <x:c r="E11" s="13" t="n">
        <x:v>426</x:v>
      </x:c>
      <x:c r="F11" s="13" t="n">
        <x:v>436.9866362915903</x:v>
      </x:c>
      <x:c r="G11" s="13" t="n">
        <x:v>10.986636291590287</x:v>
      </x:c>
      <x:c r="H11" s="9" t="n">
        <x:v>0.025790226036596916</x:v>
      </x:c>
      <x:c r="I11" s="6" t="str">
        <x:v>A speed / B BHP</x:v>
      </x:c>
      <x:c r="J11" s="6" t="str">
        <x:v>Calibrated model, 9240 lb held constant</x:v>
      </x:c>
    </x:row>
    <x:row r="12">
      <x:c r="B12" s="12" t="n">
        <x:v>28000</x:v>
      </x:c>
      <x:c r="C12" s="6" t="str">
        <x:v>high</x:v>
      </x:c>
      <x:c r="D12" s="6" t="str">
        <x:v>67inHg</x:v>
      </x:c>
      <x:c r="E12" s="13" t="n">
        <x:v>419</x:v>
      </x:c>
      <x:c r="F12" s="13" t="n">
        <x:v>429.459315426092</x:v>
      </x:c>
      <x:c r="G12" s="13" t="n">
        <x:v>10.459315426092019</x:v>
      </x:c>
      <x:c r="H12" s="9" t="n">
        <x:v>0.02496256664938429</x:v>
      </x:c>
      <x:c r="I12" s="6" t="str">
        <x:v>A speed / B BHP</x:v>
      </x:c>
      <x:c r="J12" s="6" t="str">
        <x:v>Calibrated model, 9240 lb held constant</x:v>
      </x:c>
    </x:row>
    <x:row r="13">
      <x:c r="B13" s="12" t="n">
        <x:v>32000</x:v>
      </x:c>
      <x:c r="C13" s="6" t="str">
        <x:v>high</x:v>
      </x:c>
      <x:c r="D13" s="6" t="str">
        <x:v>67inHg</x:v>
      </x:c>
      <x:c r="E13" s="13" t="n">
        <x:v>410</x:v>
      </x:c>
      <x:c r="F13" s="13" t="n">
        <x:v>419.7617424951571</x:v>
      </x:c>
      <x:c r="G13" s="13" t="n">
        <x:v>9.76174249515708</x:v>
      </x:c>
      <x:c r="H13" s="9" t="n">
        <x:v>0.023809128036968486</x:v>
      </x:c>
      <x:c r="I13" s="6" t="str">
        <x:v>A speed / B BHP</x:v>
      </x:c>
      <x:c r="J13" s="6" t="str">
        <x:v>Calibrated model, 9240 lb held constant</x:v>
      </x:c>
    </x:row>
    <x:row r="17">
      <x:c r="B17" t="str">
        <x:v>Climb at 2,200 ft</x:v>
      </x:c>
    </x:row>
    <x:row r="18" ht="30" customHeight="1">
      <x:c r="B18" s="5" t="str">
        <x:v>Rating</x:v>
      </x:c>
      <x:c r="C18" s="5" t="str">
        <x:v>Observed ft/min</x:v>
      </x:c>
      <x:c r="D18" s="5" t="str">
        <x:v>Model ft/min</x:v>
      </x:c>
      <x:c r="E18" s="5" t="str">
        <x:v>Residual ft/min</x:v>
      </x:c>
      <x:c r="F18" s="5" t="str">
        <x:v>Status</x:v>
      </x:c>
    </x:row>
    <x:row r="19">
      <x:c r="B19" t="str">
        <x:v>67inHg</x:v>
      </x:c>
      <x:c r="C19" s="20" t="n">
        <x:v>3820</x:v>
      </x:c>
      <x:c r="D19" s="20" t="n">
        <x:v>3642.312730265974</x:v>
      </x:c>
      <x:c r="E19" s="20" t="n">
        <x:v>-177.6872697340259</x:v>
      </x:c>
      <x:c r="F19" t="str">
        <x:v>Illustrative, Vy unverified</x:v>
      </x:c>
    </x:row>
    <x:row r="20">
      <x:c r="B20" t="str">
        <x:v>75inHg</x:v>
      </x:c>
      <x:c r="C20" s="20" t="n">
        <x:v>4380</x:v>
      </x:c>
      <x:c r="D20" s="20" t="n">
        <x:v>4236.5984445581635</x:v>
      </x:c>
      <x:c r="E20" s="20" t="n">
        <x:v>-143.40155544183654</x:v>
      </x:c>
      <x:c r="F20" t="str">
        <x:v>Illustrative, Vy unverified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34F70"/>
  </x:sheetPr>
  <x:sheetViews>
    <x:sheetView showGridLines="0" workbookViewId="0"/>
  </x:sheetViews>
  <x:sheetFormatPr defaultRowHeight="15"/>
  <x:cols>
    <x:col min="2" max="2" width="29" hidden="0" customWidth="1"/>
    <x:col min="3" max="3" width="18" hidden="0" customWidth="1"/>
    <x:col min="4" max="4" width="15" hidden="0" customWidth="1"/>
    <x:col min="5" max="5" width="72" hidden="0" customWidth="1"/>
    <x:col min="6" max="6" width="22" hidden="0" customWidth="1"/>
  </x:cols>
  <x:sheetData>
    <x:row r="2">
      <x:c r="B2" s="1" t="str">
        <x:v>P-51B reference calculation assumptions</x:v>
      </x:c>
    </x:row>
    <x:row r="3">
      <x:c r="B3" s="2"/>
      <x:c r="C3" s="2"/>
      <x:c r="D3" s="2"/>
      <x:c r="E3" s="2"/>
      <x:c r="F3" s="2"/>
    </x:row>
    <x:row r="4" ht="30" customHeight="1">
      <x:c r="B4" s="5" t="str">
        <x:v>Driver</x:v>
      </x:c>
      <x:c r="C4" s="5" t="str">
        <x:v>Value</x:v>
      </x:c>
      <x:c r="D4" s="5" t="str">
        <x:v>Unit</x:v>
      </x:c>
      <x:c r="E4" s="5" t="str">
        <x:v>Meaning</x:v>
      </x:c>
      <x:c r="F4" s="5" t="str">
        <x:v>Quality</x:v>
      </x:c>
    </x:row>
    <x:row r="5">
      <x:c r="B5" s="6" t="str">
        <x:v>Reference weight</x:v>
      </x:c>
      <x:c r="C5" s="7" t="n">
        <x:v>9240</x:v>
      </x:c>
      <x:c r="D5" s="6" t="str">
        <x:v>lb</x:v>
      </x:c>
      <x:c r="E5" s="6" t="str">
        <x:v>Historical corrected weight at 22,400 ft, reused across all sample altitudes</x:v>
      </x:c>
      <x:c r="F5" s="6" t="str">
        <x:v>B (test at 22,400 ft)</x:v>
      </x:c>
    </x:row>
    <x:row r="6">
      <x:c r="B6" s="6" t="str">
        <x:v>Wing area</x:v>
      </x:c>
      <x:c r="C6" s="7" t="n">
        <x:v>233</x:v>
      </x:c>
      <x:c r="D6" s="6" t="str">
        <x:v>ft²</x:v>
      </x:c>
      <x:c r="E6" s="6" t="str">
        <x:v>Measured aircraft dimension</x:v>
      </x:c>
      <x:c r="F6" s="6" t="str">
        <x:v>A</x:v>
      </x:c>
    </x:row>
    <x:row r="7">
      <x:c r="B7" s="6" t="str">
        <x:v>Wingspan</x:v>
      </x:c>
      <x:c r="C7" s="7" t="n">
        <x:v>37</x:v>
      </x:c>
      <x:c r="D7" s="6" t="str">
        <x:v>ft</x:v>
      </x:c>
      <x:c r="E7" s="6" t="str">
        <x:v>Measured aircraft dimension</x:v>
      </x:c>
      <x:c r="F7" s="6" t="str">
        <x:v>A</x:v>
      </x:c>
    </x:row>
    <x:row r="8">
      <x:c r="B8" s="6" t="str">
        <x:v>Whole-aircraft CD0</x:v>
      </x:c>
      <x:c r="C8" s="7" t="n">
        <x:v>0.016</x:v>
      </x:c>
      <x:c r="D8" s="6" t="str">
        <x:v>ratio</x:v>
      </x:c>
      <x:c r="E8" s="6" t="str">
        <x:v>Calibration placeholder, NOT NACA measured CD0 for this serial</x:v>
      </x:c>
      <x:c r="F8" s="6" t="str">
        <x:v>D</x:v>
      </x:c>
    </x:row>
    <x:row r="9">
      <x:c r="B9" s="6" t="str">
        <x:v>Oswald efficiency e</x:v>
      </x:c>
      <x:c r="C9" s="7" t="n">
        <x:v>0.8</x:v>
      </x:c>
      <x:c r="D9" s="6" t="str">
        <x:v>ratio</x:v>
      </x:c>
      <x:c r="E9" s="6" t="str">
        <x:v>Provisional whole-aircraft estimate</x:v>
      </x:c>
      <x:c r="F9" s="6" t="str">
        <x:v>D</x:v>
      </x:c>
    </x:row>
    <x:row r="10">
      <x:c r="B10" s="6" t="str">
        <x:v>Propeller efficiency</x:v>
      </x:c>
      <x:c r="C10" s="7" t="n">
        <x:v>0.8</x:v>
      </x:c>
      <x:c r="D10" s="6" t="str">
        <x:v>ratio</x:v>
      </x:c>
      <x:c r="E10" s="6" t="str">
        <x:v>Provisional constant, NOT an installed propeller map</x:v>
      </x:c>
      <x:c r="F10" s="6" t="str">
        <x:v>D</x:v>
      </x:c>
    </x:row>
    <x:row r="11">
      <x:c r="B11" s="6" t="str">
        <x:v>Clean CLmax</x:v>
      </x:c>
      <x:c r="C11" s="7" t="n">
        <x:v>1.6</x:v>
      </x:c>
      <x:c r="D11" s="6" t="str">
        <x:v>ratio</x:v>
      </x:c>
      <x:c r="E11" s="6" t="str">
        <x:v>Provisional, needs CAS/EAS calibration</x:v>
      </x:c>
      <x:c r="F11" s="6" t="str">
        <x:v>D</x:v>
      </x:c>
    </x:row>
    <x:row r="12">
      <x:c r="B12" s="6" t="str">
        <x:v>Structural G limit</x:v>
      </x:c>
      <x:c r="C12" s="7" t="n">
        <x:v>6</x:v>
      </x:c>
      <x:c r="D12" s="6" t="str">
        <x:v>G</x:v>
      </x:c>
      <x:c r="E12" s="6" t="str">
        <x:v>Scenario-only, not historical evidence for 43-24777</x:v>
      </x:c>
      <x:c r="F12" s="6" t="str">
        <x:v>D</x:v>
      </x:c>
    </x:row>
    <x:row r="13">
      <x:c r="B13" s="6" t="str">
        <x:v>Additional configuration Cd</x:v>
      </x:c>
      <x:c r="C13" s="7" t="n">
        <x:v>0</x:v>
      </x:c>
      <x:c r="D13" s="6" t="str">
        <x:v>ratio</x:v>
      </x:c>
      <x:c r="E13" s="6" t="str">
        <x:v>No extra stores beyond wing racks already represented</x:v>
      </x:c>
      <x:c r="F13" s="6" t="str">
        <x:v>Scenario</x:v>
      </x:c>
    </x:row>
    <x:row r="14">
      <x:c r="B14" s="6" t="str">
        <x:v>Wave drag Cd</x:v>
      </x:c>
      <x:c r="C14" s="7" t="n">
        <x:v>0</x:v>
      </x:c>
      <x:c r="D14" s="6" t="str">
        <x:v>ratio</x:v>
      </x:c>
      <x:c r="E14" s="6" t="str">
        <x:v>Not modeled; high-altitude error warning</x:v>
      </x:c>
      <x:c r="F14" s="6" t="str">
        <x:v>Missing</x:v>
      </x:c>
    </x:row>
    <x:row r="17">
      <x:c r="B17" t="str">
        <x:v>Important</x:v>
      </x:c>
    </x:row>
    <x:row r="18">
      <x:c r="B18" s="8" t="str">
        <x:v>Changing altitude in a Greg Speed Table row does not update its BHP automatically. Refresh the engine-power node or rerun the reference engine.</x:v>
      </x:c>
      <x:c r="C18" s="8"/>
      <x:c r="D18" s="8"/>
      <x:c r="E18" s="8"/>
    </x:row>
    <x:row r="19">
      <x:c r="B19" s="8" t="str">
        <x:v>This workbook updates its aerodynamic calculations from the highlighted assumptions, but historical measurement rows never change.</x:v>
      </x:c>
      <x:c r="C19" s="8"/>
      <x:c r="D19" s="8"/>
      <x:c r="E19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34F70"/>
  </x:sheetPr>
  <x:sheetViews>
    <x:sheetView showGridLines="0" workbookViewId="0"/>
  </x:sheetViews>
  <x:sheetFormatPr defaultRowHeight="15"/>
  <x:cols>
    <x:col min="2" max="2" width="11" hidden="0" customWidth="1"/>
    <x:col min="3" max="3" width="58" hidden="0" customWidth="1"/>
    <x:col min="4" max="4" width="64" hidden="0" customWidth="1"/>
    <x:col min="5" max="5" width="27" hidden="0" customWidth="1"/>
    <x:col min="6" max="6" width="82" hidden="0" customWidth="1"/>
    <x:col min="7" max="7" width="86" hidden="0" customWidth="1"/>
  </x:cols>
  <x:sheetData>
    <x:row r="2">
      <x:c r="B2" s="1" t="str">
        <x:v>Source register and remaining research</x:v>
      </x:c>
    </x:row>
    <x:row r="3">
      <x:c r="B3" s="2"/>
      <x:c r="C3" s="2"/>
      <x:c r="D3" s="2"/>
      <x:c r="E3" s="2"/>
      <x:c r="F3" s="2"/>
      <x:c r="G3" s="2"/>
      <x:c r="H3" s="2"/>
    </x:row>
    <x:row r="4" ht="30" customHeight="1">
      <x:c r="B4" s="5" t="str">
        <x:v>ID</x:v>
      </x:c>
      <x:c r="C4" s="5" t="str">
        <x:v>Document or original chart</x:v>
      </x:c>
      <x:c r="D4" s="5" t="str">
        <x:v>Date</x:v>
      </x:c>
      <x:c r="E4" s="5" t="str">
        <x:v>Evidence type</x:v>
      </x:c>
      <x:c r="F4" s="5" t="str">
        <x:v>URL</x:v>
      </x:c>
      <x:c r="G4" s="5" t="str">
        <x:v>Use / caution</x:v>
      </x:c>
    </x:row>
    <x:row r="5">
      <x:c r="B5" s="6" t="str">
        <x:v>S1</x:v>
      </x:c>
      <x:c r="C5" s="6" t="str">
        <x:v>USAAF Eng-47-1715-A, P-51B-15 serial 43-24777</x:v>
      </x:c>
      <x:c r="D5" s="6" t="str">
        <x:v>1944-05-20</x:v>
      </x:c>
      <x:c r="E5" s="6" t="str">
        <x:v>A flight data; B BHP</x:v>
      </x:c>
      <x:c r="F5" s="6" t="str">
        <x:v>https://www.wwiiaircraftperformance.org/mustang/p51b-24777.html</x:v>
      </x:c>
      <x:c r="G5" s="6" t="str">
        <x:v>Main reference; 75-inHg rating proposed/tested</x:v>
      </x:c>
    </x:row>
    <x:row r="6">
      <x:c r="B6" s="6" t="str">
        <x:v>S2</x:v>
      </x:c>
      <x:c r="C6" s="6" t="str">
        <x:v>USAAF P-51B power-required chart at 22,400 ft</x:v>
      </x:c>
      <x:c r="D6" s="6" t="str">
        <x:v>1944-05-20</x:v>
      </x:c>
      <x:c r="E6" s="6" t="str">
        <x:v>Historical chart</x:v>
      </x:c>
      <x:c r="F6" s="6" t="str">
        <x:v>https://www.wwiiaircraftperformance.org/mustang/P-51B_24777_Power_Required.jpg</x:v>
      </x:c>
      <x:c r="G6" s="6" t="str">
        <x:v>Critical multi-speed calibration; not yet digitized</x:v>
      </x:c>
    </x:row>
    <x:row r="7">
      <x:c r="B7" s="6" t="str">
        <x:v>S3</x:v>
      </x:c>
      <x:c r="C7" s="6" t="str">
        <x:v>NACA ACR 4K02, P-51B-1 drag investigations</x:v>
      </x:c>
      <x:c r="D7" s="6" t="str">
        <x:v>1945-02</x:v>
      </x:c>
      <x:c r="E7" s="6" t="str">
        <x:v>A aerodynamic measurements</x:v>
      </x:c>
      <x:c r="F7" s="6" t="str">
        <x:v>https://ntrs.nasa.gov/citations/19930092458</x:v>
      </x:c>
      <x:c r="G7" s="6" t="str">
        <x:v>Different P-51B-1 with propeller off; methodological source, not identical serial</x:v>
      </x:c>
    </x:row>
    <x:row r="8">
      <x:c r="B8" s="6" t="str">
        <x:v>S4</x:v>
      </x:c>
      <x:c r="C8" s="6" t="str">
        <x:v>NACA Report 824, Summary of Airfoil Data</x:v>
      </x:c>
      <x:c r="D8" s="6" t="str">
        <x:v>1945</x:v>
      </x:c>
      <x:c r="E8" s="6" t="str">
        <x:v>Section aerodynamics</x:v>
      </x:c>
      <x:c r="F8" s="6" t="str">
        <x:v>https://ntrs.nasa.gov/api/citations/19930090976/downloads/19930090976.pdf</x:v>
      </x:c>
      <x:c r="G8" s="6" t="str">
        <x:v>2D airfoil data, not entire aircraft CD0</x:v>
      </x:c>
    </x:row>
    <x:row r="9">
      <x:c r="B9" s="6" t="str">
        <x:v>S5</x:v>
      </x:c>
      <x:c r="C9" s="6" t="str">
        <x:v>NACA TN-484, Controllable Propellers</x:v>
      </x:c>
      <x:c r="D9" s="6" t="str">
        <x:v>1934</x:v>
      </x:c>
      <x:c r="E9" s="6" t="str">
        <x:v>Propeller theory</x:v>
      </x:c>
      <x:c r="F9" s="6" t="str">
        <x:v>https://ntrs.nasa.gov/citations/19930081396</x:v>
      </x:c>
      <x:c r="G9" s="6" t="str">
        <x:v>Propeller eta varies with advance ratio and pitch</x:v>
      </x:c>
    </x:row>
    <x:row r="12">
      <x:c r="B12" t="str">
        <x:v>Priority research gaps</x:v>
      </x:c>
    </x:row>
    <x:row r="13" ht="30" customHeight="1">
      <x:c r="B13" s="5" t="str">
        <x:v>Priority</x:v>
      </x:c>
      <x:c r="C13" s="5" t="str">
        <x:v>Missing data</x:v>
      </x:c>
      <x:c r="D13" s="5" t="str">
        <x:v>Next action</x:v>
      </x:c>
    </x:row>
    <x:row r="14">
      <x:c r="B14" t="str">
        <x:v>P0</x:v>
      </x:c>
      <x:c r="C14" t="str">
        <x:v>P-51B power-required at multiple speeds</x:v>
      </x:c>
      <x:c r="D14" t="str">
        <x:v>Digitize original 22,400-ft chart with uncertainty</x:v>
      </x:c>
    </x:row>
    <x:row r="15">
      <x:c r="B15" t="str">
        <x:v>P0</x:v>
      </x:c>
      <x:c r="C15" t="str">
        <x:v>Hamilton Standard installed prop efficiency map</x:v>
      </x:c>
      <x:c r="D15" t="str">
        <x:v>Find Ct/Cp or eta versus advance ratio/pitch/RPM</x:v>
      </x:c>
    </x:row>
    <x:row r="16">
      <x:c r="B16" t="str">
        <x:v>P0</x:v>
      </x:c>
      <x:c r="C16" t="str">
        <x:v>CAS/EAS, CLmax and historical Vy</x:v>
      </x:c>
      <x:c r="D16" t="str">
        <x:v>Digitize airspeed calibration and climb-speed curve</x:v>
      </x:c>
    </x:row>
    <x:row r="17">
      <x:c r="B17" t="str">
        <x:v>P1</x:v>
      </x:c>
      <x:c r="C17" t="str">
        <x:v>Full powered aircraft drag polar vs Mach/CL</x:v>
      </x:c>
      <x:c r="D17" t="str">
        <x:v>Source real P-51B polar; NACA propeller-off P-51B-1 only as proxy</x:v>
      </x:c>
    </x:row>
    <x:row r="18">
      <x:c r="B18" t="str">
        <x:v>P1</x:v>
      </x:c>
      <x:c r="C18" t="str">
        <x:v>Emergency boost/thermal/duration rules</x:v>
      </x:c>
      <x:c r="D18" t="str">
        <x:v>Original pilot/engine manual and authorization history</x:v>
      </x:c>
    </x:row>
    <x:row r="19">
      <x:c r="B19" t="str">
        <x:v>P1</x:v>
      </x:c>
      <x:c r="C19" t="str">
        <x:v>Roll and structural/control G limits</x:v>
      </x:c>
      <x:c r="D19" t="str">
        <x:v>NACA/report handling curves, not illustrative 6G</x:v>
      </x:c>
    </x:row>
  </x:sheetData>
  <x:pageMargins left="0.7" right="0.7" top="0.75" bottom="0.75" header="0.3" footer="0.3"/>
</x:worksheet>
</file>